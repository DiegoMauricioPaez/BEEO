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55F97A74-A71D-4611-8413-6A35FEE3294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xample - Project Plan Template" sheetId="1" r:id="rId1"/>
  </sheets>
  <definedNames>
    <definedName name="_xlnm.Print_Area" localSheetId="0">'Example - Project Plan Template'!$B$1:$I$49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5" i="1" l="1"/>
  <c r="H26" i="1"/>
  <c r="H27" i="1"/>
  <c r="H28" i="1"/>
  <c r="H34" i="1"/>
  <c r="H35" i="1"/>
  <c r="H36" i="1"/>
  <c r="H37" i="1"/>
  <c r="H41" i="1"/>
  <c r="H42" i="1"/>
  <c r="H43" i="1"/>
  <c r="H44" i="1"/>
  <c r="H45" i="1"/>
  <c r="H46" i="1"/>
  <c r="H47" i="1"/>
  <c r="H16" i="1"/>
  <c r="H17" i="1"/>
  <c r="H18" i="1"/>
  <c r="H19" i="1"/>
  <c r="H20" i="1"/>
  <c r="H21" i="1"/>
  <c r="H5" i="1"/>
  <c r="H10" i="1" l="1"/>
  <c r="H11" i="1"/>
  <c r="H12" i="1"/>
  <c r="H13" i="1"/>
  <c r="H14" i="1"/>
  <c r="H15" i="1"/>
  <c r="H22" i="1"/>
  <c r="H23" i="1"/>
  <c r="H24" i="1"/>
  <c r="H29" i="1"/>
  <c r="H30" i="1"/>
  <c r="H31" i="1"/>
  <c r="H32" i="1"/>
  <c r="H33" i="1"/>
  <c r="H38" i="1"/>
  <c r="H39" i="1"/>
  <c r="H40" i="1"/>
  <c r="H9" i="1"/>
  <c r="H8" i="1"/>
</calcChain>
</file>

<file path=xl/sharedStrings.xml><?xml version="1.0" encoding="utf-8"?>
<sst xmlns="http://schemas.openxmlformats.org/spreadsheetml/2006/main" count="166" uniqueCount="94">
  <si>
    <t>Nombre del Proyecto</t>
  </si>
  <si>
    <t>Título del Proyecto</t>
  </si>
  <si>
    <t>Fecha inicio</t>
  </si>
  <si>
    <t>BEEO DETECCIÓN DE CAMBIOS RELEVANTES, PATRONES DE COMPORTAMIENTO A TRAVES DE DATOS MOVILES.</t>
  </si>
  <si>
    <t>Duracion del proyecto</t>
  </si>
  <si>
    <t>Gerente del Proyecto</t>
  </si>
  <si>
    <t>Fecha Fin</t>
  </si>
  <si>
    <t>en dias</t>
  </si>
  <si>
    <t>ANGIE GASCA, DIEGO PAEZ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</si>
  <si>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</si>
  <si>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</si>
  <si>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</si>
  <si>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</si>
  <si>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</si>
  <si>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</si>
  <si>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</si>
  <si>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</si>
  <si>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 xml:space="preserve">ANALISIS </t>
  </si>
  <si>
    <t>No Iniciado</t>
  </si>
  <si>
    <t>DEFINICIÓN DEL PROYECTO</t>
  </si>
  <si>
    <t>Completo</t>
  </si>
  <si>
    <t>Angie Gasca y Diego Paez</t>
  </si>
  <si>
    <t>En progreso</t>
  </si>
  <si>
    <t>1.1.1</t>
  </si>
  <si>
    <t>ACTA DE INICIO</t>
  </si>
  <si>
    <t>1.1.2</t>
  </si>
  <si>
    <t>OBJETIVOS Y ALCANCE DEFINIDO</t>
  </si>
  <si>
    <t>En Espera</t>
  </si>
  <si>
    <t>1.2</t>
  </si>
  <si>
    <t>ANÁLISIS DE INTERESADOS</t>
  </si>
  <si>
    <t>1.2.1</t>
  </si>
  <si>
    <t>IDENTIFICACIÓN DE INTERESADOS</t>
  </si>
  <si>
    <t>1.2.2</t>
  </si>
  <si>
    <t>ANÁLISIS DE STAKEHOLDERS</t>
  </si>
  <si>
    <t>1.3</t>
  </si>
  <si>
    <t>PLANIFICACIÓN DEL PROYECTO</t>
  </si>
  <si>
    <t>1.3.1</t>
  </si>
  <si>
    <t>PRESUPUESTO ESTIMADO</t>
  </si>
  <si>
    <t>1.3.2</t>
  </si>
  <si>
    <t>EDT APROBADA</t>
  </si>
  <si>
    <t>1.3.3</t>
  </si>
  <si>
    <t>ANÁLISIS DE VIABILIDAD</t>
  </si>
  <si>
    <t>1.3.4</t>
  </si>
  <si>
    <t>CRONOGRAMA DEL PROYECTO</t>
  </si>
  <si>
    <t>1.3.5</t>
  </si>
  <si>
    <t>ASIGNACIÓN DE RESPONSABILIDADES</t>
  </si>
  <si>
    <t>1.3.6</t>
  </si>
  <si>
    <t>PLAN DE COMUNICACIONES</t>
  </si>
  <si>
    <t>MODELADO</t>
  </si>
  <si>
    <t>INGENIERÍA DE REQUERIMIENTOS</t>
  </si>
  <si>
    <t>2.1.1</t>
  </si>
  <si>
    <t>ANÁLISIS DE REQUERIMIENTOS</t>
  </si>
  <si>
    <t>2.1.2</t>
  </si>
  <si>
    <t>DOCUMENTO DE REQUISITOS</t>
  </si>
  <si>
    <t>2.2</t>
  </si>
  <si>
    <t>DISEÑO TÉCNICO</t>
  </si>
  <si>
    <t>2.2.1</t>
  </si>
  <si>
    <t>ANÁLISIS DE BASES DE DATOS DE REFERENCIA</t>
  </si>
  <si>
    <t>2.2.2</t>
  </si>
  <si>
    <t>PROTOTIPO DEL SISTEMA</t>
  </si>
  <si>
    <t>CONSTRUCCIÓN</t>
  </si>
  <si>
    <t>BASE DE DATOS IMPLEMENTADA</t>
  </si>
  <si>
    <t>3.1.1</t>
  </si>
  <si>
    <t>DISEÑO FÍSICO DE BD</t>
  </si>
  <si>
    <t>3.2</t>
  </si>
  <si>
    <t>BACKEND Y PROCESAMIENTO</t>
  </si>
  <si>
    <t>3.2.1</t>
  </si>
  <si>
    <t>LÓGICA DE NEGOCIO</t>
  </si>
  <si>
    <t>3.2.2</t>
  </si>
  <si>
    <t>ALGORITMO DE DETECCIÓN DE PATRONES</t>
  </si>
  <si>
    <t>3.3</t>
  </si>
  <si>
    <t>FRONTEND</t>
  </si>
  <si>
    <t>3.3.1</t>
  </si>
  <si>
    <t xml:space="preserve"> INTERFACES GRÁFICAS</t>
  </si>
  <si>
    <t>3.3.2</t>
  </si>
  <si>
    <t>INTEGRACIÓN CON BACKEND</t>
  </si>
  <si>
    <t>CIERRE</t>
  </si>
  <si>
    <t>PRUEBAS DEL SISTEMA</t>
  </si>
  <si>
    <t>4.1.1</t>
  </si>
  <si>
    <t>PRUEBAS FUNCIONALES Y TÉCNICAS</t>
  </si>
  <si>
    <t>4.2</t>
  </si>
  <si>
    <t>VALIDACIÓN Y APROBACIÓN</t>
  </si>
  <si>
    <t>4.2.1</t>
  </si>
  <si>
    <t>VALIDACIÓN CON CLIENTE</t>
  </si>
  <si>
    <t>4.3</t>
  </si>
  <si>
    <t>IMPLEMENTACIÓN</t>
  </si>
  <si>
    <t>4.3.1</t>
  </si>
  <si>
    <t>LANZAMIENTO A PRODUCCIÓN</t>
  </si>
  <si>
    <t>4.4</t>
  </si>
  <si>
    <t>CIERRE FORMAL</t>
  </si>
  <si>
    <t>4.4.1</t>
  </si>
  <si>
    <t>ENTREGA FORMAL</t>
  </si>
  <si>
    <t>4.4.2</t>
  </si>
  <si>
    <t>ACTA DE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</si>
</sst>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11"/>
      <color rgb="FF001033"/>
      <name val="Century Gothic"/>
      <family val="2"/>
    </font>
    <font>
      <sz val="11"/>
      <color theme="1"/>
      <name val="Century Gothic"/>
      <family val="2"/>
    </font>
    <font>
      <sz val="11"/>
      <color theme="0"/>
      <name val="Century Gothic"/>
      <family val="2"/>
    </font>
    <font>
      <b/>
      <sz val="11"/>
      <color theme="0"/>
      <name val="Century Gothic"/>
      <family val="2"/>
    </font>
    <font>
      <sz val="11"/>
      <color rgb="FF000000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1033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69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7" xfId="0" applyFont="1" applyFill="1" applyBorder="1" applyAlignment="1">
      <alignment horizontal="left" vertical="center" wrapText="1" indent="1"/>
    </xf>
    <xf numFmtId="0" fontId="6" fillId="6" borderId="7" xfId="0" applyFont="1" applyFill="1" applyBorder="1" applyAlignment="1">
      <alignment horizontal="left" vertical="center" wrapText="1" indent="1"/>
    </xf>
    <xf numFmtId="0" fontId="8" fillId="5" borderId="7" xfId="0" applyFont="1" applyFill="1" applyBorder="1" applyAlignment="1">
      <alignment horizontal="left" vertical="center" wrapText="1" indent="1"/>
    </xf>
    <xf numFmtId="0" fontId="8" fillId="5" borderId="7" xfId="0" applyFont="1" applyFill="1" applyBorder="1" applyAlignment="1">
      <alignment horizontal="left" vertical="center" indent="1"/>
    </xf>
    <xf numFmtId="0" fontId="9" fillId="5" borderId="7" xfId="0" applyFont="1" applyFill="1" applyBorder="1" applyAlignment="1">
      <alignment horizontal="left" vertical="center" wrapText="1" indent="1"/>
    </xf>
    <xf numFmtId="165" fontId="8" fillId="5" borderId="7" xfId="0" applyNumberFormat="1" applyFont="1" applyFill="1" applyBorder="1" applyAlignment="1">
      <alignment horizontal="left" vertical="center" wrapText="1" indent="1"/>
    </xf>
    <xf numFmtId="1" fontId="8" fillId="5" borderId="7" xfId="0" applyNumberFormat="1" applyFont="1" applyFill="1" applyBorder="1" applyAlignment="1">
      <alignment horizontal="left" vertical="center" wrapText="1" indent="1"/>
    </xf>
    <xf numFmtId="0" fontId="7" fillId="2" borderId="7" xfId="0" applyFont="1" applyFill="1" applyBorder="1" applyAlignment="1">
      <alignment horizontal="left" vertical="center" wrapText="1" indent="1"/>
    </xf>
    <xf numFmtId="0" fontId="10" fillId="0" borderId="7" xfId="0" applyFont="1" applyBorder="1" applyAlignment="1">
      <alignment vertical="center"/>
    </xf>
    <xf numFmtId="0" fontId="10" fillId="2" borderId="7" xfId="0" applyFont="1" applyFill="1" applyBorder="1" applyAlignment="1">
      <alignment horizontal="left" vertical="center" wrapText="1" indent="1" readingOrder="1"/>
    </xf>
    <xf numFmtId="164" fontId="10" fillId="2" borderId="7" xfId="0" applyNumberFormat="1" applyFont="1" applyFill="1" applyBorder="1" applyAlignment="1">
      <alignment horizontal="left" vertical="center" wrapText="1" indent="1" readingOrder="1"/>
    </xf>
    <xf numFmtId="165" fontId="10" fillId="0" borderId="7" xfId="0" applyNumberFormat="1" applyFont="1" applyBorder="1" applyAlignment="1">
      <alignment horizontal="left" vertical="center" wrapText="1" indent="1" readingOrder="1"/>
    </xf>
    <xf numFmtId="1" fontId="7" fillId="7" borderId="7" xfId="0" applyNumberFormat="1" applyFont="1" applyFill="1" applyBorder="1" applyAlignment="1">
      <alignment horizontal="left" vertical="center" wrapText="1" indent="1"/>
    </xf>
    <xf numFmtId="0" fontId="10" fillId="0" borderId="7" xfId="0" applyFont="1" applyBorder="1"/>
    <xf numFmtId="0" fontId="7" fillId="4" borderId="7" xfId="0" applyFont="1" applyFill="1" applyBorder="1" applyAlignment="1">
      <alignment horizontal="left" vertical="center" wrapText="1" indent="1"/>
    </xf>
    <xf numFmtId="165" fontId="7" fillId="0" borderId="7" xfId="0" applyNumberFormat="1" applyFont="1" applyBorder="1" applyAlignment="1">
      <alignment horizontal="left" vertical="center" wrapText="1" indent="1"/>
    </xf>
    <xf numFmtId="0" fontId="10" fillId="10" borderId="7" xfId="0" applyFont="1" applyFill="1" applyBorder="1" applyAlignment="1">
      <alignment horizontal="left" vertical="center" wrapText="1" indent="1" readingOrder="1"/>
    </xf>
    <xf numFmtId="0" fontId="8" fillId="13" borderId="7" xfId="0" applyFont="1" applyFill="1" applyBorder="1" applyAlignment="1">
      <alignment horizontal="left" vertical="center" wrapText="1" indent="1"/>
    </xf>
    <xf numFmtId="0" fontId="8" fillId="13" borderId="7" xfId="0" applyFont="1" applyFill="1" applyBorder="1" applyAlignment="1">
      <alignment horizontal="left" vertical="center" wrapText="1" indent="1" readingOrder="1"/>
    </xf>
    <xf numFmtId="164" fontId="8" fillId="13" borderId="7" xfId="0" applyNumberFormat="1" applyFont="1" applyFill="1" applyBorder="1" applyAlignment="1">
      <alignment horizontal="left" vertical="center" wrapText="1" indent="1"/>
    </xf>
    <xf numFmtId="165" fontId="8" fillId="13" borderId="7" xfId="0" applyNumberFormat="1" applyFont="1" applyFill="1" applyBorder="1" applyAlignment="1">
      <alignment horizontal="left" vertical="center" wrapText="1" indent="1" readingOrder="1"/>
    </xf>
    <xf numFmtId="165" fontId="8" fillId="13" borderId="7" xfId="0" applyNumberFormat="1" applyFont="1" applyFill="1" applyBorder="1" applyAlignment="1">
      <alignment horizontal="left" vertical="center" wrapText="1" indent="1"/>
    </xf>
    <xf numFmtId="1" fontId="8" fillId="13" borderId="7" xfId="0" applyNumberFormat="1" applyFont="1" applyFill="1" applyBorder="1" applyAlignment="1">
      <alignment horizontal="left" vertical="center" wrapText="1" indent="1"/>
    </xf>
    <xf numFmtId="1" fontId="7" fillId="9" borderId="7" xfId="0" applyNumberFormat="1" applyFont="1" applyFill="1" applyBorder="1" applyAlignment="1">
      <alignment horizontal="left" vertical="center" wrapText="1" indent="1"/>
    </xf>
    <xf numFmtId="0" fontId="8" fillId="11" borderId="7" xfId="0" applyFont="1" applyFill="1" applyBorder="1" applyAlignment="1">
      <alignment horizontal="left" vertical="center" wrapText="1" indent="1"/>
    </xf>
    <xf numFmtId="0" fontId="10" fillId="11" borderId="7" xfId="0" applyFont="1" applyFill="1" applyBorder="1" applyAlignment="1">
      <alignment horizontal="left" vertical="center" wrapText="1" indent="1" readingOrder="1"/>
    </xf>
    <xf numFmtId="164" fontId="7" fillId="11" borderId="7" xfId="0" applyNumberFormat="1" applyFont="1" applyFill="1" applyBorder="1" applyAlignment="1">
      <alignment horizontal="left" vertical="center" wrapText="1" indent="1"/>
    </xf>
    <xf numFmtId="165" fontId="8" fillId="11" borderId="7" xfId="0" applyNumberFormat="1" applyFont="1" applyFill="1" applyBorder="1" applyAlignment="1">
      <alignment horizontal="left" vertical="center" wrapText="1" indent="1" readingOrder="1"/>
    </xf>
    <xf numFmtId="165" fontId="8" fillId="11" borderId="7" xfId="0" applyNumberFormat="1" applyFont="1" applyFill="1" applyBorder="1" applyAlignment="1">
      <alignment horizontal="left" vertical="center" wrapText="1" indent="1"/>
    </xf>
    <xf numFmtId="1" fontId="8" fillId="11" borderId="7" xfId="0" applyNumberFormat="1" applyFont="1" applyFill="1" applyBorder="1" applyAlignment="1">
      <alignment horizontal="left" vertical="center" wrapText="1" indent="1"/>
    </xf>
    <xf numFmtId="0" fontId="7" fillId="11" borderId="7" xfId="0" applyFont="1" applyFill="1" applyBorder="1" applyAlignment="1">
      <alignment horizontal="left" vertical="center" wrapText="1" indent="1"/>
    </xf>
    <xf numFmtId="0" fontId="10" fillId="0" borderId="7" xfId="0" applyFont="1" applyBorder="1" applyAlignment="1">
      <alignment horizontal="left"/>
    </xf>
    <xf numFmtId="1" fontId="7" fillId="8" borderId="7" xfId="0" applyNumberFormat="1" applyFont="1" applyFill="1" applyBorder="1" applyAlignment="1">
      <alignment horizontal="left" vertical="center" wrapText="1" indent="1"/>
    </xf>
    <xf numFmtId="0" fontId="10" fillId="0" borderId="7" xfId="0" applyFont="1" applyBorder="1" applyAlignment="1">
      <alignment horizontal="left" vertical="center"/>
    </xf>
    <xf numFmtId="0" fontId="8" fillId="12" borderId="7" xfId="0" applyFont="1" applyFill="1" applyBorder="1" applyAlignment="1">
      <alignment horizontal="left" vertical="center" wrapText="1" indent="1"/>
    </xf>
    <xf numFmtId="0" fontId="8" fillId="12" borderId="7" xfId="0" applyFont="1" applyFill="1" applyBorder="1" applyAlignment="1">
      <alignment horizontal="left" vertical="center" wrapText="1" indent="1" readingOrder="1"/>
    </xf>
    <xf numFmtId="164" fontId="8" fillId="12" borderId="7" xfId="0" applyNumberFormat="1" applyFont="1" applyFill="1" applyBorder="1" applyAlignment="1">
      <alignment horizontal="left" vertical="center" wrapText="1" indent="1"/>
    </xf>
    <xf numFmtId="165" fontId="8" fillId="12" borderId="7" xfId="0" applyNumberFormat="1" applyFont="1" applyFill="1" applyBorder="1" applyAlignment="1">
      <alignment horizontal="left" vertical="center" wrapText="1" indent="1" readingOrder="1"/>
    </xf>
    <xf numFmtId="165" fontId="8" fillId="12" borderId="7" xfId="0" applyNumberFormat="1" applyFont="1" applyFill="1" applyBorder="1" applyAlignment="1">
      <alignment horizontal="left" vertical="center" wrapText="1" indent="1"/>
    </xf>
    <xf numFmtId="1" fontId="8" fillId="12" borderId="7" xfId="0" applyNumberFormat="1" applyFont="1" applyFill="1" applyBorder="1" applyAlignment="1">
      <alignment horizontal="left" vertical="center" wrapText="1" indent="1"/>
    </xf>
    <xf numFmtId="1" fontId="7" fillId="14" borderId="7" xfId="0" applyNumberFormat="1" applyFont="1" applyFill="1" applyBorder="1" applyAlignment="1">
      <alignment horizontal="left" vertical="center" wrapText="1" indent="1"/>
    </xf>
    <xf numFmtId="0" fontId="7" fillId="2" borderId="0" xfId="0" applyFont="1" applyFill="1" applyAlignment="1">
      <alignment wrapText="1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wrapText="1"/>
    </xf>
    <xf numFmtId="0" fontId="7" fillId="0" borderId="0" xfId="0" applyFont="1"/>
    <xf numFmtId="0" fontId="7" fillId="2" borderId="0" xfId="0" applyFont="1" applyFill="1" applyAlignment="1">
      <alignment vertical="center" wrapText="1"/>
    </xf>
    <xf numFmtId="0" fontId="7" fillId="0" borderId="3" xfId="0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  <xf numFmtId="0" fontId="7" fillId="2" borderId="4" xfId="0" applyFont="1" applyFill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 indent="1"/>
    </xf>
    <xf numFmtId="1" fontId="7" fillId="7" borderId="6" xfId="0" applyNumberFormat="1" applyFont="1" applyFill="1" applyBorder="1" applyAlignment="1">
      <alignment horizontal="left" vertical="center" wrapText="1" indent="1"/>
    </xf>
    <xf numFmtId="0" fontId="7" fillId="2" borderId="8" xfId="0" applyFont="1" applyFill="1" applyBorder="1" applyAlignment="1">
      <alignment wrapText="1"/>
    </xf>
    <xf numFmtId="0" fontId="7" fillId="2" borderId="0" xfId="0" applyFont="1" applyFill="1" applyAlignment="1">
      <alignment horizontal="left" vertical="center" wrapText="1" indent="1"/>
    </xf>
    <xf numFmtId="0" fontId="6" fillId="3" borderId="5" xfId="0" applyFont="1" applyFill="1" applyBorder="1" applyAlignment="1">
      <alignment horizontal="left" vertical="center" wrapText="1" indent="1"/>
    </xf>
    <xf numFmtId="0" fontId="7" fillId="2" borderId="0" xfId="0" applyFont="1" applyFill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 indent="1"/>
    </xf>
    <xf numFmtId="0" fontId="10" fillId="10" borderId="1" xfId="0" applyFont="1" applyFill="1" applyBorder="1" applyAlignment="1">
      <alignment horizontal="left" vertical="center" wrapText="1" indent="1" readingOrder="1"/>
    </xf>
    <xf numFmtId="0" fontId="10" fillId="11" borderId="1" xfId="0" applyFont="1" applyFill="1" applyBorder="1" applyAlignment="1">
      <alignment horizontal="left" vertical="center" wrapText="1" indent="1" readingOrder="1"/>
    </xf>
    <xf numFmtId="0" fontId="7" fillId="12" borderId="1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vertical="center" wrapText="1"/>
    </xf>
  </cellXfs>
  <cellStyles count="6">
    <cellStyle name="Hipervínculo" xfId="1" builtinId="8" hidden="1"/>
    <cellStyle name="Hipervínculo visitado" xfId="4" builtinId="9" hidden="1"/>
    <cellStyle name="Hipervínculo visitado" xfId="3" builtinId="9" hidden="1"/>
    <cellStyle name="Hipervínculo visitado" xfId="2" builtinId="9" hidden="1"/>
    <cellStyle name="Normal" xfId="0" builtinId="0"/>
    <cellStyle name="Normal 2" xfId="5" xr:uid="{00000000-0005-0000-0000-000005000000}"/>
  </cellStyles>
  <dxfs count="36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1033"/>
      <color rgb="FF007134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'Example - Project Plan Template'!$F$7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'Example - Project Plan Template'!$C$8:$C$47</c:f>
              <c:strCache>
                <c:ptCount val="40"/>
                <c:pt idx="0">
                  <c:v>ANALISIS </c:v>
                </c:pt>
                <c:pt idx="1">
                  <c:v>DEFINICIÓN DEL PROYECTO</c:v>
                </c:pt>
                <c:pt idx="2">
                  <c:v>ACTA DE INICIO</c:v>
                </c:pt>
                <c:pt idx="3">
                  <c:v>OBJETIVOS Y ALCANCE DEFINIDO</c:v>
                </c:pt>
                <c:pt idx="4">
                  <c:v>ANÁLISIS DE INTERESADOS</c:v>
                </c:pt>
                <c:pt idx="5">
                  <c:v>IDENTIFICACIÓN DE INTERESADOS</c:v>
                </c:pt>
                <c:pt idx="6">
                  <c:v>ANÁLISIS DE STAKEHOLDERS</c:v>
                </c:pt>
                <c:pt idx="7">
                  <c:v>PLANIFICACIÓN DEL PROYECTO</c:v>
                </c:pt>
                <c:pt idx="8">
                  <c:v>PRESUPUESTO ESTIMADO</c:v>
                </c:pt>
                <c:pt idx="9">
                  <c:v>EDT APROBADA</c:v>
                </c:pt>
                <c:pt idx="10">
                  <c:v>ANÁLISIS DE VIABILIDAD</c:v>
                </c:pt>
                <c:pt idx="11">
                  <c:v>CRONOGRAMA DEL PROYECTO</c:v>
                </c:pt>
                <c:pt idx="12">
                  <c:v>ASIGNACIÓN DE RESPONSABILIDADES</c:v>
                </c:pt>
                <c:pt idx="13">
                  <c:v>PLAN DE COMUNICACIONES</c:v>
                </c:pt>
                <c:pt idx="14">
                  <c:v>MODELADO</c:v>
                </c:pt>
                <c:pt idx="15">
                  <c:v>INGENIERÍA DE REQUERIMIENTOS</c:v>
                </c:pt>
                <c:pt idx="16">
                  <c:v>ANÁLISIS DE REQUERIMIENTOS</c:v>
                </c:pt>
                <c:pt idx="17">
                  <c:v>DOCUMENTO DE REQUISITOS</c:v>
                </c:pt>
                <c:pt idx="18">
                  <c:v>DISEÑO TÉCNICO</c:v>
                </c:pt>
                <c:pt idx="19">
                  <c:v>ANÁLISIS DE BASES DE DATOS DE REFERENCIA</c:v>
                </c:pt>
                <c:pt idx="20">
                  <c:v>PROTOTIPO DEL SISTEMA</c:v>
                </c:pt>
                <c:pt idx="21">
                  <c:v>CONSTRUCCIÓN</c:v>
                </c:pt>
                <c:pt idx="22">
                  <c:v>BASE DE DATOS IMPLEMENTADA</c:v>
                </c:pt>
                <c:pt idx="23">
                  <c:v>DISEÑO FÍSICO DE BD</c:v>
                </c:pt>
                <c:pt idx="24">
                  <c:v>BACKEND Y PROCESAMIENTO</c:v>
                </c:pt>
                <c:pt idx="25">
                  <c:v>LÓGICA DE NEGOCIO</c:v>
                </c:pt>
                <c:pt idx="26">
                  <c:v>ALGORITMO DE DETECCIÓN DE PATRONES</c:v>
                </c:pt>
                <c:pt idx="27">
                  <c:v>FRONTEND</c:v>
                </c:pt>
                <c:pt idx="28">
                  <c:v> INTERFACES GRÁFICAS</c:v>
                </c:pt>
                <c:pt idx="29">
                  <c:v>INTEGRACIÓN CON BACKEND</c:v>
                </c:pt>
                <c:pt idx="30">
                  <c:v>CIERRE</c:v>
                </c:pt>
                <c:pt idx="31">
                  <c:v>PRUEBAS DEL SISTEMA</c:v>
                </c:pt>
                <c:pt idx="32">
                  <c:v>PRUEBAS FUNCIONALES Y TÉCNICAS</c:v>
                </c:pt>
                <c:pt idx="33">
                  <c:v>VALIDACIÓN Y APROBACIÓN</c:v>
                </c:pt>
                <c:pt idx="34">
                  <c:v>VALIDACIÓN CON CLIENTE</c:v>
                </c:pt>
                <c:pt idx="35">
                  <c:v>IMPLEMENTACIÓN</c:v>
                </c:pt>
                <c:pt idx="36">
                  <c:v>LANZAMIENTO A PRODUCCIÓN</c:v>
                </c:pt>
                <c:pt idx="37">
                  <c:v>CIERRE FORMAL</c:v>
                </c:pt>
                <c:pt idx="38">
                  <c:v>ENTREGA FORMAL</c:v>
                </c:pt>
                <c:pt idx="39">
                  <c:v>ACTA DE CIERRE</c:v>
                </c:pt>
              </c:strCache>
            </c:strRef>
          </c:cat>
          <c:val>
            <c:numRef>
              <c:f>'Example - Project Plan Template'!$F$8:$F$47</c:f>
              <c:numCache>
                <c:formatCode>mm/dd</c:formatCode>
                <c:ptCount val="40"/>
                <c:pt idx="0">
                  <c:v>46205</c:v>
                </c:pt>
                <c:pt idx="1">
                  <c:v>46060</c:v>
                </c:pt>
                <c:pt idx="2">
                  <c:v>46060</c:v>
                </c:pt>
                <c:pt idx="3">
                  <c:v>46060</c:v>
                </c:pt>
                <c:pt idx="4">
                  <c:v>46060</c:v>
                </c:pt>
                <c:pt idx="5">
                  <c:v>46060</c:v>
                </c:pt>
                <c:pt idx="6">
                  <c:v>46060</c:v>
                </c:pt>
                <c:pt idx="7">
                  <c:v>46060</c:v>
                </c:pt>
                <c:pt idx="8">
                  <c:v>46074</c:v>
                </c:pt>
                <c:pt idx="9">
                  <c:v>46074</c:v>
                </c:pt>
                <c:pt idx="10">
                  <c:v>46081</c:v>
                </c:pt>
                <c:pt idx="11">
                  <c:v>46081</c:v>
                </c:pt>
                <c:pt idx="12">
                  <c:v>46206</c:v>
                </c:pt>
                <c:pt idx="13">
                  <c:v>46206</c:v>
                </c:pt>
                <c:pt idx="14">
                  <c:v>46089</c:v>
                </c:pt>
                <c:pt idx="15">
                  <c:v>46089</c:v>
                </c:pt>
                <c:pt idx="16">
                  <c:v>46089</c:v>
                </c:pt>
                <c:pt idx="17">
                  <c:v>46093</c:v>
                </c:pt>
                <c:pt idx="18">
                  <c:v>46094</c:v>
                </c:pt>
                <c:pt idx="19">
                  <c:v>46096</c:v>
                </c:pt>
                <c:pt idx="20">
                  <c:v>46099</c:v>
                </c:pt>
                <c:pt idx="21">
                  <c:v>46103</c:v>
                </c:pt>
                <c:pt idx="22">
                  <c:v>46103</c:v>
                </c:pt>
                <c:pt idx="23">
                  <c:v>46106</c:v>
                </c:pt>
                <c:pt idx="24">
                  <c:v>46110</c:v>
                </c:pt>
                <c:pt idx="25">
                  <c:v>46116</c:v>
                </c:pt>
                <c:pt idx="26">
                  <c:v>46119</c:v>
                </c:pt>
                <c:pt idx="27">
                  <c:v>46124</c:v>
                </c:pt>
                <c:pt idx="28">
                  <c:v>46127</c:v>
                </c:pt>
                <c:pt idx="29">
                  <c:v>46129</c:v>
                </c:pt>
                <c:pt idx="30">
                  <c:v>46135</c:v>
                </c:pt>
                <c:pt idx="31">
                  <c:v>46135</c:v>
                </c:pt>
                <c:pt idx="32">
                  <c:v>46142</c:v>
                </c:pt>
                <c:pt idx="33">
                  <c:v>46143</c:v>
                </c:pt>
                <c:pt idx="34">
                  <c:v>46144</c:v>
                </c:pt>
                <c:pt idx="35">
                  <c:v>46146</c:v>
                </c:pt>
                <c:pt idx="36">
                  <c:v>46149</c:v>
                </c:pt>
                <c:pt idx="37">
                  <c:v>46157</c:v>
                </c:pt>
                <c:pt idx="38">
                  <c:v>46162</c:v>
                </c:pt>
                <c:pt idx="39">
                  <c:v>46164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A44D-94B3-9A6869E3CD9F}"/>
            </c:ext>
          </c:extLst>
        </c:ser>
        <c:ser>
          <c:idx val="1"/>
          <c:order val="1"/>
          <c:tx>
            <c:strRef>
              <c:f>'Example - Project Plan Template'!$H$7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03C15A">
                <a:alpha val="79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3D-A44D-94B3-9A6869E3CD9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C3D-A44D-94B3-9A6869E3CD9F}"/>
              </c:ext>
            </c:extLst>
          </c:dPt>
          <c:dPt>
            <c:idx val="2"/>
            <c:invertIfNegative val="0"/>
            <c:bubble3D val="0"/>
            <c:spPr>
              <a:solidFill>
                <a:srgbClr val="D1EEFF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C3D-A44D-94B3-9A6869E3CD9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C3D-A44D-94B3-9A6869E3CD9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C3D-A44D-94B3-9A6869E3CD9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>
                  <a:alpha val="78824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C3D-A44D-94B3-9A6869E3CD9F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C3D-A44D-94B3-9A6869E3CD9F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C3D-A44D-94B3-9A6869E3CD9F}"/>
              </c:ext>
            </c:extLst>
          </c:dPt>
          <c:dPt>
            <c:idx val="8"/>
            <c:invertIfNegative val="0"/>
            <c:bubble3D val="0"/>
            <c:spPr>
              <a:solidFill>
                <a:srgbClr val="007134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C3D-A44D-94B3-9A6869E3CD9F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5C3D-A44D-94B3-9A6869E3CD9F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>
                  <a:alpha val="79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C3D-A44D-94B3-9A6869E3CD9F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5C3D-A44D-94B3-9A6869E3CD9F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5C3D-A44D-94B3-9A6869E3CD9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4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5C3D-A44D-94B3-9A6869E3CD9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5C3D-A44D-94B3-9A6869E3CD9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5C3D-A44D-94B3-9A6869E3CD9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956-514D-99D3-3E9537F022E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956-514D-99D3-3E9537F022E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4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956-514D-99D3-3E9537F022E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BD7A-C64A-8378-D8C2DF30004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D7A-C64A-8378-D8C2DF30004B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BD7A-C64A-8378-D8C2DF30004B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D7A-C64A-8378-D8C2DF30004B}"/>
              </c:ext>
            </c:extLst>
          </c:dPt>
          <c:dPt>
            <c:idx val="23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BD7A-C64A-8378-D8C2DF30004B}"/>
              </c:ext>
            </c:extLst>
          </c:dPt>
          <c:dPt>
            <c:idx val="24"/>
            <c:invertIfNegative val="0"/>
            <c:bubble3D val="0"/>
            <c:spPr>
              <a:solidFill>
                <a:schemeClr val="bg1">
                  <a:lumMod val="75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BD7A-C64A-8378-D8C2DF3000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BD7A-C64A-8378-D8C2DF30004B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D7A-C64A-8378-D8C2DF30004B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20000"/>
                  <a:lumOff val="8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BD7A-C64A-8378-D8C2DF30004B}"/>
              </c:ext>
            </c:extLst>
          </c:dPt>
          <c:dPt>
            <c:idx val="28"/>
            <c:invertIfNegative val="0"/>
            <c:bubble3D val="0"/>
            <c:spPr>
              <a:solidFill>
                <a:schemeClr val="tx2"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BD7A-C64A-8378-D8C2DF30004B}"/>
              </c:ext>
            </c:extLst>
          </c:dPt>
          <c:dPt>
            <c:idx val="29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BD7A-C64A-8378-D8C2DF30004B}"/>
              </c:ext>
            </c:extLst>
          </c:dPt>
          <c:dPt>
            <c:idx val="30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BD7A-C64A-8378-D8C2DF30004B}"/>
              </c:ext>
            </c:extLst>
          </c:dPt>
          <c:dPt>
            <c:idx val="31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BD7A-C64A-8378-D8C2DF30004B}"/>
              </c:ext>
            </c:extLst>
          </c:dPt>
          <c:dPt>
            <c:idx val="32"/>
            <c:invertIfNegative val="0"/>
            <c:bubble3D val="0"/>
            <c:spPr>
              <a:solidFill>
                <a:schemeClr val="tx2">
                  <a:lumMod val="40000"/>
                  <a:lumOff val="60000"/>
                  <a:alpha val="79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BD7A-C64A-8378-D8C2DF30004B}"/>
              </c:ext>
            </c:extLst>
          </c:dPt>
          <c:cat>
            <c:strRef>
              <c:f>'Example - Project Plan Template'!$C$8:$C$47</c:f>
              <c:strCache>
                <c:ptCount val="40"/>
                <c:pt idx="0">
                  <c:v>ANALISIS </c:v>
                </c:pt>
                <c:pt idx="1">
                  <c:v>DEFINICIÓN DEL PROYECTO</c:v>
                </c:pt>
                <c:pt idx="2">
                  <c:v>ACTA DE INICIO</c:v>
                </c:pt>
                <c:pt idx="3">
                  <c:v>OBJETIVOS Y ALCANCE DEFINIDO</c:v>
                </c:pt>
                <c:pt idx="4">
                  <c:v>ANÁLISIS DE INTERESADOS</c:v>
                </c:pt>
                <c:pt idx="5">
                  <c:v>IDENTIFICACIÓN DE INTERESADOS</c:v>
                </c:pt>
                <c:pt idx="6">
                  <c:v>ANÁLISIS DE STAKEHOLDERS</c:v>
                </c:pt>
                <c:pt idx="7">
                  <c:v>PLANIFICACIÓN DEL PROYECTO</c:v>
                </c:pt>
                <c:pt idx="8">
                  <c:v>PRESUPUESTO ESTIMADO</c:v>
                </c:pt>
                <c:pt idx="9">
                  <c:v>EDT APROBADA</c:v>
                </c:pt>
                <c:pt idx="10">
                  <c:v>ANÁLISIS DE VIABILIDAD</c:v>
                </c:pt>
                <c:pt idx="11">
                  <c:v>CRONOGRAMA DEL PROYECTO</c:v>
                </c:pt>
                <c:pt idx="12">
                  <c:v>ASIGNACIÓN DE RESPONSABILIDADES</c:v>
                </c:pt>
                <c:pt idx="13">
                  <c:v>PLAN DE COMUNICACIONES</c:v>
                </c:pt>
                <c:pt idx="14">
                  <c:v>MODELADO</c:v>
                </c:pt>
                <c:pt idx="15">
                  <c:v>INGENIERÍA DE REQUERIMIENTOS</c:v>
                </c:pt>
                <c:pt idx="16">
                  <c:v>ANÁLISIS DE REQUERIMIENTOS</c:v>
                </c:pt>
                <c:pt idx="17">
                  <c:v>DOCUMENTO DE REQUISITOS</c:v>
                </c:pt>
                <c:pt idx="18">
                  <c:v>DISEÑO TÉCNICO</c:v>
                </c:pt>
                <c:pt idx="19">
                  <c:v>ANÁLISIS DE BASES DE DATOS DE REFERENCIA</c:v>
                </c:pt>
                <c:pt idx="20">
                  <c:v>PROTOTIPO DEL SISTEMA</c:v>
                </c:pt>
                <c:pt idx="21">
                  <c:v>CONSTRUCCIÓN</c:v>
                </c:pt>
                <c:pt idx="22">
                  <c:v>BASE DE DATOS IMPLEMENTADA</c:v>
                </c:pt>
                <c:pt idx="23">
                  <c:v>DISEÑO FÍSICO DE BD</c:v>
                </c:pt>
                <c:pt idx="24">
                  <c:v>BACKEND Y PROCESAMIENTO</c:v>
                </c:pt>
                <c:pt idx="25">
                  <c:v>LÓGICA DE NEGOCIO</c:v>
                </c:pt>
                <c:pt idx="26">
                  <c:v>ALGORITMO DE DETECCIÓN DE PATRONES</c:v>
                </c:pt>
                <c:pt idx="27">
                  <c:v>FRONTEND</c:v>
                </c:pt>
                <c:pt idx="28">
                  <c:v> INTERFACES GRÁFICAS</c:v>
                </c:pt>
                <c:pt idx="29">
                  <c:v>INTEGRACIÓN CON BACKEND</c:v>
                </c:pt>
                <c:pt idx="30">
                  <c:v>CIERRE</c:v>
                </c:pt>
                <c:pt idx="31">
                  <c:v>PRUEBAS DEL SISTEMA</c:v>
                </c:pt>
                <c:pt idx="32">
                  <c:v>PRUEBAS FUNCIONALES Y TÉCNICAS</c:v>
                </c:pt>
                <c:pt idx="33">
                  <c:v>VALIDACIÓN Y APROBACIÓN</c:v>
                </c:pt>
                <c:pt idx="34">
                  <c:v>VALIDACIÓN CON CLIENTE</c:v>
                </c:pt>
                <c:pt idx="35">
                  <c:v>IMPLEMENTACIÓN</c:v>
                </c:pt>
                <c:pt idx="36">
                  <c:v>LANZAMIENTO A PRODUCCIÓN</c:v>
                </c:pt>
                <c:pt idx="37">
                  <c:v>CIERRE FORMAL</c:v>
                </c:pt>
                <c:pt idx="38">
                  <c:v>ENTREGA FORMAL</c:v>
                </c:pt>
                <c:pt idx="39">
                  <c:v>ACTA DE CIERRE</c:v>
                </c:pt>
              </c:strCache>
            </c:strRef>
          </c:cat>
          <c:val>
            <c:numRef>
              <c:f>'Example - Project Plan Template'!$H$8:$H$47</c:f>
              <c:numCache>
                <c:formatCode>0</c:formatCode>
                <c:ptCount val="4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15</c:v>
                </c:pt>
                <c:pt idx="15">
                  <c:v>4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33</c:v>
                </c:pt>
                <c:pt idx="22">
                  <c:v>4</c:v>
                </c:pt>
                <c:pt idx="23">
                  <c:v>5</c:v>
                </c:pt>
                <c:pt idx="24">
                  <c:v>7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3</c:v>
                </c:pt>
                <c:pt idx="29">
                  <c:v>7</c:v>
                </c:pt>
                <c:pt idx="30">
                  <c:v>31</c:v>
                </c:pt>
                <c:pt idx="31">
                  <c:v>8</c:v>
                </c:pt>
                <c:pt idx="32">
                  <c:v>2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9</c:v>
                </c:pt>
                <c:pt idx="37">
                  <c:v>6</c:v>
                </c:pt>
                <c:pt idx="38">
                  <c:v>3</c:v>
                </c:pt>
                <c:pt idx="3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C3D-A44D-94B3-9A6869E3C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61457152"/>
        <c:axId val="61458688"/>
      </c:barChart>
      <c:catAx>
        <c:axId val="61457152"/>
        <c:scaling>
          <c:orientation val="maxMin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8688"/>
        <c:crosses val="max"/>
        <c:auto val="1"/>
        <c:lblAlgn val="ctr"/>
        <c:lblOffset val="100"/>
        <c:noMultiLvlLbl val="0"/>
      </c:catAx>
      <c:valAx>
        <c:axId val="61458688"/>
        <c:scaling>
          <c:orientation val="minMax"/>
          <c:max val="45800"/>
          <c:min val="45700"/>
        </c:scaling>
        <c:delete val="0"/>
        <c:axPos val="t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mm/dd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Century Gothic" panose="020B0502020202020204" pitchFamily="34" charset="0"/>
              </a:defRPr>
            </a:pPr>
            <a:endParaRPr lang="es-CO"/>
          </a:p>
        </c:txPr>
        <c:crossAx val="61457152"/>
        <c:crosses val="autoZero"/>
        <c:crossBetween val="between"/>
        <c:majorUnit val="5"/>
      </c:valAx>
      <c:spPr>
        <a:noFill/>
      </c:spPr>
    </c:plotArea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47</xdr:row>
      <xdr:rowOff>114300</xdr:rowOff>
    </xdr:from>
    <xdr:to>
      <xdr:col>8</xdr:col>
      <xdr:colOff>3860800</xdr:colOff>
      <xdr:row>49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1093"/>
  <sheetViews>
    <sheetView showGridLines="0" tabSelected="1" zoomScale="70" zoomScaleNormal="70" workbookViewId="0">
      <pane ySplit="1" topLeftCell="A2" activePane="bottomLeft" state="frozen"/>
      <selection pane="bottomLeft" activeCell="E6" sqref="E6"/>
    </sheetView>
  </sheetViews>
  <sheetFormatPr defaultColWidth="11" defaultRowHeight="13.5" outlineLevelRow="1"/>
  <cols>
    <col min="1" max="1" width="3.375" style="2" customWidth="1"/>
    <col min="2" max="2" width="7.875" style="2" customWidth="1"/>
    <col min="3" max="3" width="57" style="2" bestFit="1" customWidth="1"/>
    <col min="4" max="4" width="12.875" style="2" customWidth="1"/>
    <col min="5" max="5" width="20.875" style="2" customWidth="1"/>
    <col min="6" max="7" width="8.875" style="2" customWidth="1"/>
    <col min="8" max="8" width="11.875" style="2" customWidth="1"/>
    <col min="9" max="9" width="50.875" style="2" customWidth="1"/>
    <col min="10" max="10" width="3.375" style="2" customWidth="1"/>
    <col min="11" max="11" width="12.875" style="2" customWidth="1"/>
    <col min="12" max="17" width="11" style="2"/>
    <col min="18" max="18" width="9" style="2" customWidth="1"/>
    <col min="19" max="16384" width="11" style="2"/>
  </cols>
  <sheetData>
    <row r="1" spans="1:258" ht="57" customHeight="1">
      <c r="A1" s="50"/>
      <c r="B1" s="51" t="s">
        <v>0</v>
      </c>
      <c r="C1" s="52"/>
      <c r="D1" s="53"/>
      <c r="E1" s="53"/>
      <c r="F1" s="53"/>
      <c r="G1" s="53"/>
      <c r="H1" s="53"/>
      <c r="I1" s="53"/>
      <c r="J1" s="50"/>
      <c r="K1" s="53"/>
      <c r="L1" s="50"/>
      <c r="M1" s="5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8" customFormat="1" ht="18" customHeight="1">
      <c r="A2" s="54"/>
      <c r="B2" s="54"/>
      <c r="C2" s="54" t="s">
        <v>1</v>
      </c>
      <c r="D2" s="54"/>
      <c r="E2" s="54" t="s">
        <v>2</v>
      </c>
      <c r="F2" s="54"/>
      <c r="G2" s="54"/>
      <c r="H2" s="54"/>
      <c r="I2" s="54"/>
      <c r="J2" s="54"/>
      <c r="K2" s="54"/>
      <c r="L2" s="54"/>
      <c r="M2" s="5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</row>
    <row r="3" spans="1:258" ht="30" customHeight="1" thickBot="1">
      <c r="A3" s="50"/>
      <c r="B3" s="50"/>
      <c r="C3" s="55" t="s">
        <v>3</v>
      </c>
      <c r="D3" s="50"/>
      <c r="E3" s="56">
        <v>46060</v>
      </c>
      <c r="F3" s="50"/>
      <c r="G3" s="50"/>
      <c r="H3" s="50" t="s">
        <v>4</v>
      </c>
      <c r="I3" s="50"/>
      <c r="J3" s="50"/>
      <c r="K3" s="50"/>
      <c r="L3" s="50"/>
      <c r="M3" s="5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8" customFormat="1" ht="18" customHeight="1" thickBot="1">
      <c r="A4" s="54"/>
      <c r="B4" s="54"/>
      <c r="C4" s="57" t="s">
        <v>5</v>
      </c>
      <c r="D4" s="54"/>
      <c r="E4" s="57" t="s">
        <v>6</v>
      </c>
      <c r="F4" s="54"/>
      <c r="G4" s="54"/>
      <c r="H4" s="54" t="s">
        <v>7</v>
      </c>
      <c r="I4" s="54"/>
      <c r="J4" s="54"/>
      <c r="K4" s="54"/>
      <c r="L4" s="54"/>
      <c r="M4" s="5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</row>
    <row r="5" spans="1:258" ht="30" customHeight="1">
      <c r="A5" s="50"/>
      <c r="B5" s="50"/>
      <c r="C5" s="58" t="s">
        <v>8</v>
      </c>
      <c r="D5" s="50"/>
      <c r="E5" s="56">
        <v>46174</v>
      </c>
      <c r="F5" s="50"/>
      <c r="G5" s="50"/>
      <c r="H5" s="59">
        <f>IF(E3=0,0,E5-E3)+1</f>
        <v>115</v>
      </c>
      <c r="I5" s="50"/>
      <c r="J5" s="50"/>
      <c r="K5" s="50"/>
      <c r="L5" s="50"/>
      <c r="M5" s="5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6.5">
      <c r="A6" s="50"/>
      <c r="B6" s="50"/>
      <c r="C6" s="50"/>
      <c r="D6" s="50"/>
      <c r="E6" s="60"/>
      <c r="F6" s="50"/>
      <c r="G6" s="50"/>
      <c r="H6" s="60"/>
      <c r="I6" s="50"/>
      <c r="J6" s="50"/>
      <c r="K6" s="50"/>
      <c r="L6" s="50"/>
      <c r="M6" s="5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6" customFormat="1" ht="35.1" customHeight="1" thickBot="1">
      <c r="A7" s="61"/>
      <c r="B7" s="9" t="s">
        <v>9</v>
      </c>
      <c r="C7" s="9" t="s">
        <v>10</v>
      </c>
      <c r="D7" s="9" t="s">
        <v>11</v>
      </c>
      <c r="E7" s="9" t="s">
        <v>12</v>
      </c>
      <c r="F7" s="10" t="s">
        <v>13</v>
      </c>
      <c r="G7" s="10" t="s">
        <v>14</v>
      </c>
      <c r="H7" s="9" t="s">
        <v>15</v>
      </c>
      <c r="I7" s="9" t="s">
        <v>16</v>
      </c>
      <c r="J7" s="61"/>
      <c r="K7" s="62" t="s">
        <v>11</v>
      </c>
      <c r="L7" s="61"/>
      <c r="M7" s="6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</row>
    <row r="8" spans="1:258" s="4" customFormat="1" ht="24.95" customHeight="1">
      <c r="A8" s="63"/>
      <c r="B8" s="11">
        <v>1</v>
      </c>
      <c r="C8" s="12" t="s">
        <v>17</v>
      </c>
      <c r="D8" s="13"/>
      <c r="E8" s="13"/>
      <c r="F8" s="14">
        <v>46205</v>
      </c>
      <c r="G8" s="14">
        <v>46206</v>
      </c>
      <c r="H8" s="15">
        <f>IF(F8=0,0,G8-F8)+1</f>
        <v>2</v>
      </c>
      <c r="I8" s="11"/>
      <c r="J8" s="63"/>
      <c r="K8" s="64" t="s">
        <v>18</v>
      </c>
      <c r="L8" s="63"/>
      <c r="M8" s="6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</row>
    <row r="9" spans="1:258" s="4" customFormat="1" ht="24.95" customHeight="1" outlineLevel="1">
      <c r="A9" s="63"/>
      <c r="B9" s="16">
        <v>1.1000000000000001</v>
      </c>
      <c r="C9" s="17" t="s">
        <v>19</v>
      </c>
      <c r="D9" s="18" t="s">
        <v>20</v>
      </c>
      <c r="E9" s="19" t="s">
        <v>21</v>
      </c>
      <c r="F9" s="20">
        <v>46060</v>
      </c>
      <c r="G9" s="20">
        <v>46060</v>
      </c>
      <c r="H9" s="21">
        <f>IF(F9=0,0,G9-F9)+1</f>
        <v>1</v>
      </c>
      <c r="I9" s="16"/>
      <c r="J9" s="63"/>
      <c r="K9" s="65" t="s">
        <v>22</v>
      </c>
      <c r="L9" s="63"/>
      <c r="M9" s="6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</row>
    <row r="10" spans="1:258" s="4" customFormat="1" ht="24.95" customHeight="1" outlineLevel="1">
      <c r="A10" s="63"/>
      <c r="B10" s="16" t="s">
        <v>23</v>
      </c>
      <c r="C10" s="22" t="s">
        <v>24</v>
      </c>
      <c r="D10" s="18" t="s">
        <v>20</v>
      </c>
      <c r="E10" s="19" t="s">
        <v>21</v>
      </c>
      <c r="F10" s="20">
        <v>46060</v>
      </c>
      <c r="G10" s="20">
        <v>46060</v>
      </c>
      <c r="H10" s="21">
        <f t="shared" ref="H10:H47" si="0">IF(F10=0,0,G10-F10)+1</f>
        <v>1</v>
      </c>
      <c r="I10" s="16"/>
      <c r="J10" s="63"/>
      <c r="K10" s="66" t="s">
        <v>20</v>
      </c>
      <c r="L10" s="63"/>
      <c r="M10" s="6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</row>
    <row r="11" spans="1:258" s="4" customFormat="1" ht="24.95" customHeight="1" outlineLevel="1">
      <c r="A11" s="63"/>
      <c r="B11" s="16" t="s">
        <v>25</v>
      </c>
      <c r="C11" s="22" t="s">
        <v>26</v>
      </c>
      <c r="D11" s="18" t="s">
        <v>20</v>
      </c>
      <c r="E11" s="19" t="s">
        <v>21</v>
      </c>
      <c r="F11" s="20">
        <v>46060</v>
      </c>
      <c r="G11" s="20">
        <v>46060</v>
      </c>
      <c r="H11" s="21">
        <f t="shared" si="0"/>
        <v>1</v>
      </c>
      <c r="I11" s="16"/>
      <c r="J11" s="63"/>
      <c r="K11" s="67" t="s">
        <v>27</v>
      </c>
      <c r="L11" s="63"/>
      <c r="M11" s="6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</row>
    <row r="12" spans="1:258" s="4" customFormat="1" ht="24.95" customHeight="1" outlineLevel="1">
      <c r="A12" s="63"/>
      <c r="B12" s="16" t="s">
        <v>28</v>
      </c>
      <c r="C12" s="22" t="s">
        <v>29</v>
      </c>
      <c r="D12" s="18" t="s">
        <v>20</v>
      </c>
      <c r="E12" s="19" t="s">
        <v>21</v>
      </c>
      <c r="F12" s="20">
        <v>46060</v>
      </c>
      <c r="G12" s="20">
        <v>46060</v>
      </c>
      <c r="H12" s="21">
        <f t="shared" si="0"/>
        <v>1</v>
      </c>
      <c r="I12" s="16"/>
      <c r="J12" s="63"/>
      <c r="K12" s="50"/>
      <c r="L12" s="63"/>
      <c r="M12" s="6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</row>
    <row r="13" spans="1:258" s="4" customFormat="1" ht="24.95" customHeight="1" outlineLevel="1">
      <c r="A13" s="63"/>
      <c r="B13" s="16" t="s">
        <v>30</v>
      </c>
      <c r="C13" s="22" t="s">
        <v>31</v>
      </c>
      <c r="D13" s="18" t="s">
        <v>20</v>
      </c>
      <c r="E13" s="19" t="s">
        <v>21</v>
      </c>
      <c r="F13" s="20">
        <v>46060</v>
      </c>
      <c r="G13" s="20">
        <v>46060</v>
      </c>
      <c r="H13" s="21">
        <f t="shared" si="0"/>
        <v>1</v>
      </c>
      <c r="I13" s="16"/>
      <c r="J13" s="63"/>
      <c r="K13" s="50"/>
      <c r="L13" s="63"/>
      <c r="M13" s="6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</row>
    <row r="14" spans="1:258" s="4" customFormat="1" ht="24.95" customHeight="1" outlineLevel="1">
      <c r="A14" s="63"/>
      <c r="B14" s="16" t="s">
        <v>32</v>
      </c>
      <c r="C14" s="22" t="s">
        <v>33</v>
      </c>
      <c r="D14" s="18" t="s">
        <v>20</v>
      </c>
      <c r="E14" s="19" t="s">
        <v>21</v>
      </c>
      <c r="F14" s="20">
        <v>46060</v>
      </c>
      <c r="G14" s="20">
        <v>46060</v>
      </c>
      <c r="H14" s="21">
        <f t="shared" si="0"/>
        <v>1</v>
      </c>
      <c r="I14" s="16"/>
      <c r="J14" s="63"/>
      <c r="K14" s="50"/>
      <c r="L14" s="63"/>
      <c r="M14" s="6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</row>
    <row r="15" spans="1:258" s="4" customFormat="1" ht="24.95" customHeight="1" outlineLevel="1">
      <c r="A15" s="63"/>
      <c r="B15" s="16" t="s">
        <v>34</v>
      </c>
      <c r="C15" s="22" t="s">
        <v>35</v>
      </c>
      <c r="D15" s="18" t="s">
        <v>20</v>
      </c>
      <c r="E15" s="19" t="s">
        <v>21</v>
      </c>
      <c r="F15" s="20">
        <v>46060</v>
      </c>
      <c r="G15" s="20">
        <v>46060</v>
      </c>
      <c r="H15" s="21">
        <f t="shared" si="0"/>
        <v>1</v>
      </c>
      <c r="I15" s="16"/>
      <c r="J15" s="63"/>
      <c r="K15" s="50"/>
      <c r="L15" s="63"/>
      <c r="M15" s="6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</row>
    <row r="16" spans="1:258" s="4" customFormat="1" ht="24.95" customHeight="1" outlineLevel="1">
      <c r="A16" s="63"/>
      <c r="B16" s="16" t="s">
        <v>36</v>
      </c>
      <c r="C16" s="22" t="s">
        <v>37</v>
      </c>
      <c r="D16" s="25" t="s">
        <v>22</v>
      </c>
      <c r="E16" s="19" t="s">
        <v>21</v>
      </c>
      <c r="F16" s="20">
        <v>46074</v>
      </c>
      <c r="G16" s="20">
        <v>46074</v>
      </c>
      <c r="H16" s="21">
        <f t="shared" si="0"/>
        <v>1</v>
      </c>
      <c r="I16" s="16"/>
      <c r="J16" s="63"/>
      <c r="K16" s="50"/>
      <c r="L16" s="63"/>
      <c r="M16" s="6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</row>
    <row r="17" spans="1:258" s="4" customFormat="1" ht="24.95" customHeight="1" outlineLevel="1">
      <c r="A17" s="3"/>
      <c r="B17" s="16" t="s">
        <v>38</v>
      </c>
      <c r="C17" s="22" t="s">
        <v>39</v>
      </c>
      <c r="D17" s="25" t="s">
        <v>22</v>
      </c>
      <c r="E17" s="19" t="s">
        <v>21</v>
      </c>
      <c r="F17" s="20">
        <v>46074</v>
      </c>
      <c r="G17" s="20">
        <v>46074</v>
      </c>
      <c r="H17" s="21">
        <f t="shared" si="0"/>
        <v>1</v>
      </c>
      <c r="I17" s="16"/>
      <c r="J17" s="3"/>
      <c r="K17" s="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</row>
    <row r="18" spans="1:258" s="4" customFormat="1" ht="24.95" customHeight="1" outlineLevel="1">
      <c r="A18" s="3"/>
      <c r="B18" s="16" t="s">
        <v>40</v>
      </c>
      <c r="C18" s="17" t="s">
        <v>41</v>
      </c>
      <c r="D18" s="23" t="s">
        <v>18</v>
      </c>
      <c r="E18" s="19" t="s">
        <v>21</v>
      </c>
      <c r="F18" s="20">
        <v>46081</v>
      </c>
      <c r="G18" s="20">
        <v>46081</v>
      </c>
      <c r="H18" s="21">
        <f t="shared" si="0"/>
        <v>1</v>
      </c>
      <c r="I18" s="16"/>
      <c r="J18" s="3"/>
      <c r="K18" s="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</row>
    <row r="19" spans="1:258" s="4" customFormat="1" ht="24.95" customHeight="1" outlineLevel="1">
      <c r="A19" s="3"/>
      <c r="B19" s="16" t="s">
        <v>42</v>
      </c>
      <c r="C19" s="22" t="s">
        <v>43</v>
      </c>
      <c r="D19" s="23" t="s">
        <v>18</v>
      </c>
      <c r="E19" s="19" t="s">
        <v>21</v>
      </c>
      <c r="F19" s="20">
        <v>46081</v>
      </c>
      <c r="G19" s="20">
        <v>46081</v>
      </c>
      <c r="H19" s="21">
        <f t="shared" si="0"/>
        <v>1</v>
      </c>
      <c r="I19" s="16"/>
      <c r="J19" s="3"/>
      <c r="K19" s="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</row>
    <row r="20" spans="1:258" s="4" customFormat="1" ht="24.95" customHeight="1" outlineLevel="1">
      <c r="A20" s="3"/>
      <c r="B20" s="16" t="s">
        <v>44</v>
      </c>
      <c r="C20" s="22" t="s">
        <v>45</v>
      </c>
      <c r="D20" s="23" t="s">
        <v>18</v>
      </c>
      <c r="E20" s="19" t="s">
        <v>21</v>
      </c>
      <c r="F20" s="20">
        <v>46206</v>
      </c>
      <c r="G20" s="20">
        <v>46206</v>
      </c>
      <c r="H20" s="21">
        <f t="shared" si="0"/>
        <v>1</v>
      </c>
      <c r="I20" s="16"/>
      <c r="J20" s="3"/>
      <c r="K20" s="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</row>
    <row r="21" spans="1:258" s="4" customFormat="1" ht="24.95" customHeight="1" outlineLevel="1">
      <c r="A21" s="3"/>
      <c r="B21" s="16" t="s">
        <v>46</v>
      </c>
      <c r="C21" s="22" t="s">
        <v>47</v>
      </c>
      <c r="D21" s="23" t="s">
        <v>18</v>
      </c>
      <c r="E21" s="19" t="s">
        <v>21</v>
      </c>
      <c r="F21" s="20">
        <v>46206</v>
      </c>
      <c r="G21" s="20">
        <v>46206</v>
      </c>
      <c r="H21" s="21">
        <f t="shared" si="0"/>
        <v>1</v>
      </c>
      <c r="I21" s="16"/>
      <c r="J21" s="3"/>
      <c r="K21" s="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</row>
    <row r="22" spans="1:258" s="4" customFormat="1" ht="24.95" customHeight="1">
      <c r="A22" s="3"/>
      <c r="B22" s="26">
        <v>2</v>
      </c>
      <c r="C22" s="26" t="s">
        <v>48</v>
      </c>
      <c r="D22" s="27"/>
      <c r="E22" s="28"/>
      <c r="F22" s="29">
        <v>46089</v>
      </c>
      <c r="G22" s="30">
        <v>46103</v>
      </c>
      <c r="H22" s="31">
        <f t="shared" si="0"/>
        <v>15</v>
      </c>
      <c r="I22" s="26"/>
      <c r="J22" s="3"/>
      <c r="K22" s="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</row>
    <row r="23" spans="1:258" s="4" customFormat="1" ht="24.95" customHeight="1" outlineLevel="1">
      <c r="A23" s="3"/>
      <c r="B23" s="16">
        <v>2.1</v>
      </c>
      <c r="C23" s="22" t="s">
        <v>49</v>
      </c>
      <c r="D23" s="23" t="s">
        <v>18</v>
      </c>
      <c r="E23" s="19" t="s">
        <v>21</v>
      </c>
      <c r="F23" s="20">
        <v>46089</v>
      </c>
      <c r="G23" s="24">
        <v>46092</v>
      </c>
      <c r="H23" s="32">
        <f t="shared" si="0"/>
        <v>4</v>
      </c>
      <c r="I23" s="16"/>
      <c r="J23" s="3"/>
      <c r="K23" s="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</row>
    <row r="24" spans="1:258" s="4" customFormat="1" ht="24.95" customHeight="1" outlineLevel="1">
      <c r="A24" s="3"/>
      <c r="B24" s="16" t="s">
        <v>50</v>
      </c>
      <c r="C24" s="22" t="s">
        <v>51</v>
      </c>
      <c r="D24" s="23" t="s">
        <v>18</v>
      </c>
      <c r="E24" s="19" t="s">
        <v>21</v>
      </c>
      <c r="F24" s="20">
        <v>46089</v>
      </c>
      <c r="G24" s="24">
        <v>46095</v>
      </c>
      <c r="H24" s="32">
        <f t="shared" si="0"/>
        <v>7</v>
      </c>
      <c r="I24" s="16"/>
      <c r="J24" s="3"/>
      <c r="K24" s="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</row>
    <row r="25" spans="1:258" s="4" customFormat="1" ht="24.95" customHeight="1" outlineLevel="1">
      <c r="A25" s="3"/>
      <c r="B25" s="16" t="s">
        <v>52</v>
      </c>
      <c r="C25" s="22" t="s">
        <v>53</v>
      </c>
      <c r="D25" s="23" t="s">
        <v>18</v>
      </c>
      <c r="E25" s="19" t="s">
        <v>21</v>
      </c>
      <c r="F25" s="20">
        <v>46093</v>
      </c>
      <c r="G25" s="24">
        <v>46096</v>
      </c>
      <c r="H25" s="32">
        <f t="shared" si="0"/>
        <v>4</v>
      </c>
      <c r="I25" s="16"/>
      <c r="J25" s="3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</row>
    <row r="26" spans="1:258" s="4" customFormat="1" ht="24.95" customHeight="1" outlineLevel="1">
      <c r="A26" s="3"/>
      <c r="B26" s="16" t="s">
        <v>54</v>
      </c>
      <c r="C26" s="22" t="s">
        <v>55</v>
      </c>
      <c r="D26" s="23" t="s">
        <v>18</v>
      </c>
      <c r="E26" s="19" t="s">
        <v>21</v>
      </c>
      <c r="F26" s="24">
        <v>46094</v>
      </c>
      <c r="G26" s="24">
        <v>46098</v>
      </c>
      <c r="H26" s="32">
        <f t="shared" si="0"/>
        <v>5</v>
      </c>
      <c r="I26" s="16"/>
      <c r="J26" s="3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</row>
    <row r="27" spans="1:258" s="4" customFormat="1" ht="24.95" customHeight="1" outlineLevel="1">
      <c r="A27" s="3"/>
      <c r="B27" s="16" t="s">
        <v>56</v>
      </c>
      <c r="C27" s="22" t="s">
        <v>57</v>
      </c>
      <c r="D27" s="23" t="s">
        <v>18</v>
      </c>
      <c r="E27" s="19" t="s">
        <v>21</v>
      </c>
      <c r="F27" s="20">
        <v>46096</v>
      </c>
      <c r="G27" s="24">
        <v>46100</v>
      </c>
      <c r="H27" s="32">
        <f t="shared" si="0"/>
        <v>5</v>
      </c>
      <c r="I27" s="16"/>
      <c r="J27" s="3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</row>
    <row r="28" spans="1:258" s="4" customFormat="1" ht="24.95" customHeight="1" outlineLevel="1">
      <c r="A28" s="3"/>
      <c r="B28" s="16" t="s">
        <v>58</v>
      </c>
      <c r="C28" s="22" t="s">
        <v>59</v>
      </c>
      <c r="D28" s="23" t="s">
        <v>18</v>
      </c>
      <c r="E28" s="19" t="s">
        <v>21</v>
      </c>
      <c r="F28" s="20">
        <v>46099</v>
      </c>
      <c r="G28" s="24">
        <v>46103</v>
      </c>
      <c r="H28" s="32">
        <f t="shared" si="0"/>
        <v>5</v>
      </c>
      <c r="I28" s="16"/>
      <c r="J28" s="3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</row>
    <row r="29" spans="1:258" s="4" customFormat="1" ht="24.95" customHeight="1">
      <c r="A29" s="3"/>
      <c r="B29" s="33">
        <v>3</v>
      </c>
      <c r="C29" s="33" t="s">
        <v>60</v>
      </c>
      <c r="D29" s="34"/>
      <c r="E29" s="35"/>
      <c r="F29" s="36">
        <v>46103</v>
      </c>
      <c r="G29" s="37">
        <v>46135</v>
      </c>
      <c r="H29" s="38">
        <f t="shared" si="0"/>
        <v>33</v>
      </c>
      <c r="I29" s="39"/>
      <c r="J29" s="3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</row>
    <row r="30" spans="1:258" s="4" customFormat="1" ht="24.95" customHeight="1" outlineLevel="1">
      <c r="A30" s="3"/>
      <c r="B30" s="16">
        <v>3.1</v>
      </c>
      <c r="C30" s="40" t="s">
        <v>61</v>
      </c>
      <c r="D30" s="18" t="s">
        <v>18</v>
      </c>
      <c r="E30" s="19" t="s">
        <v>21</v>
      </c>
      <c r="F30" s="20">
        <v>46103</v>
      </c>
      <c r="G30" s="24">
        <v>46106</v>
      </c>
      <c r="H30" s="41">
        <f t="shared" si="0"/>
        <v>4</v>
      </c>
      <c r="I30" s="16"/>
      <c r="J30" s="3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</row>
    <row r="31" spans="1:258" s="4" customFormat="1" ht="24.95" customHeight="1" outlineLevel="1">
      <c r="A31" s="3"/>
      <c r="B31" s="16" t="s">
        <v>62</v>
      </c>
      <c r="C31" s="40" t="s">
        <v>63</v>
      </c>
      <c r="D31" s="18" t="s">
        <v>18</v>
      </c>
      <c r="E31" s="19" t="s">
        <v>21</v>
      </c>
      <c r="F31" s="20">
        <v>46106</v>
      </c>
      <c r="G31" s="24">
        <v>46110</v>
      </c>
      <c r="H31" s="41">
        <f t="shared" si="0"/>
        <v>5</v>
      </c>
      <c r="I31" s="16"/>
      <c r="J31" s="3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</row>
    <row r="32" spans="1:258" s="4" customFormat="1" ht="24.95" customHeight="1" outlineLevel="1">
      <c r="A32" s="3"/>
      <c r="B32" s="16" t="s">
        <v>64</v>
      </c>
      <c r="C32" s="40" t="s">
        <v>65</v>
      </c>
      <c r="D32" s="18" t="s">
        <v>18</v>
      </c>
      <c r="E32" s="19" t="s">
        <v>21</v>
      </c>
      <c r="F32" s="20">
        <v>46110</v>
      </c>
      <c r="G32" s="24">
        <v>46116</v>
      </c>
      <c r="H32" s="41">
        <f t="shared" si="0"/>
        <v>7</v>
      </c>
      <c r="I32" s="16"/>
      <c r="J32" s="3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</row>
    <row r="33" spans="1:258" s="4" customFormat="1" ht="24.95" customHeight="1" outlineLevel="1">
      <c r="A33" s="3"/>
      <c r="B33" s="16" t="s">
        <v>66</v>
      </c>
      <c r="C33" s="42" t="s">
        <v>67</v>
      </c>
      <c r="D33" s="18" t="s">
        <v>18</v>
      </c>
      <c r="E33" s="19" t="s">
        <v>21</v>
      </c>
      <c r="F33" s="20">
        <v>46116</v>
      </c>
      <c r="G33" s="24">
        <v>46119</v>
      </c>
      <c r="H33" s="41">
        <f t="shared" si="0"/>
        <v>4</v>
      </c>
      <c r="I33" s="16"/>
      <c r="J33" s="3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</row>
    <row r="34" spans="1:258" s="4" customFormat="1" ht="24.95" customHeight="1" outlineLevel="1">
      <c r="A34" s="3"/>
      <c r="B34" s="16" t="s">
        <v>68</v>
      </c>
      <c r="C34" s="40" t="s">
        <v>69</v>
      </c>
      <c r="D34" s="18" t="s">
        <v>18</v>
      </c>
      <c r="E34" s="19" t="s">
        <v>21</v>
      </c>
      <c r="F34" s="20">
        <v>46119</v>
      </c>
      <c r="G34" s="24">
        <v>46124</v>
      </c>
      <c r="H34" s="41">
        <f t="shared" si="0"/>
        <v>6</v>
      </c>
      <c r="I34" s="16"/>
      <c r="J34" s="3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</row>
    <row r="35" spans="1:258" s="4" customFormat="1" ht="24.95" customHeight="1" outlineLevel="1">
      <c r="A35" s="3"/>
      <c r="B35" s="16" t="s">
        <v>70</v>
      </c>
      <c r="C35" s="40" t="s">
        <v>71</v>
      </c>
      <c r="D35" s="18" t="s">
        <v>18</v>
      </c>
      <c r="E35" s="19" t="s">
        <v>21</v>
      </c>
      <c r="F35" s="20">
        <v>46124</v>
      </c>
      <c r="G35" s="24">
        <v>46127</v>
      </c>
      <c r="H35" s="41">
        <f t="shared" si="0"/>
        <v>4</v>
      </c>
      <c r="I35" s="16"/>
      <c r="J35" s="3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</row>
    <row r="36" spans="1:258" s="4" customFormat="1" ht="24.95" customHeight="1" outlineLevel="1">
      <c r="A36" s="3"/>
      <c r="B36" s="16" t="s">
        <v>72</v>
      </c>
      <c r="C36" s="42" t="s">
        <v>73</v>
      </c>
      <c r="D36" s="18" t="s">
        <v>18</v>
      </c>
      <c r="E36" s="19" t="s">
        <v>21</v>
      </c>
      <c r="F36" s="20">
        <v>46127</v>
      </c>
      <c r="G36" s="24">
        <v>46129</v>
      </c>
      <c r="H36" s="41">
        <f t="shared" si="0"/>
        <v>3</v>
      </c>
      <c r="I36" s="16"/>
      <c r="J36" s="3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</row>
    <row r="37" spans="1:258" s="4" customFormat="1" ht="24.95" customHeight="1" outlineLevel="1">
      <c r="A37" s="3"/>
      <c r="B37" s="16" t="s">
        <v>74</v>
      </c>
      <c r="C37" s="40" t="s">
        <v>75</v>
      </c>
      <c r="D37" s="18" t="s">
        <v>18</v>
      </c>
      <c r="E37" s="19" t="s">
        <v>21</v>
      </c>
      <c r="F37" s="20">
        <v>46129</v>
      </c>
      <c r="G37" s="24">
        <v>46135</v>
      </c>
      <c r="H37" s="41">
        <f t="shared" si="0"/>
        <v>7</v>
      </c>
      <c r="I37" s="16"/>
      <c r="J37" s="3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</row>
    <row r="38" spans="1:258" s="4" customFormat="1" ht="24.95" customHeight="1">
      <c r="A38" s="3"/>
      <c r="B38" s="43">
        <v>4</v>
      </c>
      <c r="C38" s="43" t="s">
        <v>76</v>
      </c>
      <c r="D38" s="44"/>
      <c r="E38" s="45"/>
      <c r="F38" s="46">
        <v>46135</v>
      </c>
      <c r="G38" s="47">
        <v>46165</v>
      </c>
      <c r="H38" s="48">
        <f t="shared" si="0"/>
        <v>31</v>
      </c>
      <c r="I38" s="43"/>
      <c r="J38" s="3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</row>
    <row r="39" spans="1:258" s="4" customFormat="1" ht="24.95" customHeight="1" outlineLevel="1">
      <c r="A39" s="3"/>
      <c r="B39" s="16">
        <v>4.0999999999999996</v>
      </c>
      <c r="C39" s="68" t="s">
        <v>77</v>
      </c>
      <c r="D39" s="18" t="s">
        <v>18</v>
      </c>
      <c r="E39" s="19" t="s">
        <v>21</v>
      </c>
      <c r="F39" s="20">
        <v>46135</v>
      </c>
      <c r="G39" s="24">
        <v>46142</v>
      </c>
      <c r="H39" s="49">
        <f t="shared" si="0"/>
        <v>8</v>
      </c>
      <c r="I39" s="16"/>
      <c r="J39" s="3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</row>
    <row r="40" spans="1:258" s="4" customFormat="1" ht="24.95" customHeight="1" outlineLevel="1">
      <c r="A40" s="3"/>
      <c r="B40" s="16" t="s">
        <v>78</v>
      </c>
      <c r="C40" s="68" t="s">
        <v>79</v>
      </c>
      <c r="D40" s="18" t="s">
        <v>18</v>
      </c>
      <c r="E40" s="19" t="s">
        <v>21</v>
      </c>
      <c r="F40" s="20">
        <v>46142</v>
      </c>
      <c r="G40" s="24">
        <v>46143</v>
      </c>
      <c r="H40" s="49">
        <f t="shared" si="0"/>
        <v>2</v>
      </c>
      <c r="I40" s="16"/>
      <c r="J40" s="3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</row>
    <row r="41" spans="1:258" s="4" customFormat="1" ht="24.95" customHeight="1" outlineLevel="1">
      <c r="A41" s="3"/>
      <c r="B41" s="16" t="s">
        <v>80</v>
      </c>
      <c r="C41" s="22" t="s">
        <v>81</v>
      </c>
      <c r="D41" s="18" t="s">
        <v>18</v>
      </c>
      <c r="E41" s="19" t="s">
        <v>21</v>
      </c>
      <c r="F41" s="20">
        <v>46143</v>
      </c>
      <c r="G41" s="24">
        <v>46144</v>
      </c>
      <c r="H41" s="49">
        <f t="shared" si="0"/>
        <v>2</v>
      </c>
      <c r="I41" s="16"/>
      <c r="J41" s="3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</row>
    <row r="42" spans="1:258" s="4" customFormat="1" ht="24.95" customHeight="1" outlineLevel="1">
      <c r="A42" s="3"/>
      <c r="B42" s="16" t="s">
        <v>82</v>
      </c>
      <c r="C42" s="22" t="s">
        <v>83</v>
      </c>
      <c r="D42" s="18" t="s">
        <v>18</v>
      </c>
      <c r="E42" s="19" t="s">
        <v>21</v>
      </c>
      <c r="F42" s="20">
        <v>46144</v>
      </c>
      <c r="G42" s="24">
        <v>46146</v>
      </c>
      <c r="H42" s="49">
        <f t="shared" si="0"/>
        <v>3</v>
      </c>
      <c r="I42" s="16"/>
      <c r="J42" s="3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</row>
    <row r="43" spans="1:258" s="4" customFormat="1" ht="24.95" customHeight="1" outlineLevel="1">
      <c r="A43" s="3"/>
      <c r="B43" s="16" t="s">
        <v>84</v>
      </c>
      <c r="C43" s="22" t="s">
        <v>85</v>
      </c>
      <c r="D43" s="18" t="s">
        <v>18</v>
      </c>
      <c r="E43" s="19" t="s">
        <v>21</v>
      </c>
      <c r="F43" s="20">
        <v>46146</v>
      </c>
      <c r="G43" s="24">
        <v>46149</v>
      </c>
      <c r="H43" s="49">
        <f t="shared" si="0"/>
        <v>4</v>
      </c>
      <c r="I43" s="16"/>
      <c r="J43" s="3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</row>
    <row r="44" spans="1:258" s="4" customFormat="1" ht="24.95" customHeight="1" outlineLevel="1">
      <c r="A44" s="3"/>
      <c r="B44" s="16" t="s">
        <v>86</v>
      </c>
      <c r="C44" s="22" t="s">
        <v>87</v>
      </c>
      <c r="D44" s="18" t="s">
        <v>18</v>
      </c>
      <c r="E44" s="19" t="s">
        <v>21</v>
      </c>
      <c r="F44" s="20">
        <v>46149</v>
      </c>
      <c r="G44" s="24">
        <v>46157</v>
      </c>
      <c r="H44" s="49">
        <f t="shared" si="0"/>
        <v>9</v>
      </c>
      <c r="I44" s="16"/>
      <c r="J44" s="3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</row>
    <row r="45" spans="1:258" s="4" customFormat="1" ht="24.95" customHeight="1" outlineLevel="1">
      <c r="A45" s="3"/>
      <c r="B45" s="16" t="s">
        <v>88</v>
      </c>
      <c r="C45" s="22" t="s">
        <v>89</v>
      </c>
      <c r="D45" s="18" t="s">
        <v>18</v>
      </c>
      <c r="E45" s="19" t="s">
        <v>21</v>
      </c>
      <c r="F45" s="20">
        <v>46157</v>
      </c>
      <c r="G45" s="24">
        <v>46162</v>
      </c>
      <c r="H45" s="49">
        <f t="shared" si="0"/>
        <v>6</v>
      </c>
      <c r="I45" s="16"/>
      <c r="J45" s="3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</row>
    <row r="46" spans="1:258" s="4" customFormat="1" ht="24.95" customHeight="1" outlineLevel="1">
      <c r="A46" s="3"/>
      <c r="B46" s="16" t="s">
        <v>90</v>
      </c>
      <c r="C46" s="22" t="s">
        <v>91</v>
      </c>
      <c r="D46" s="18" t="s">
        <v>18</v>
      </c>
      <c r="E46" s="19" t="s">
        <v>21</v>
      </c>
      <c r="F46" s="20">
        <v>46162</v>
      </c>
      <c r="G46" s="24">
        <v>46164</v>
      </c>
      <c r="H46" s="49">
        <f t="shared" si="0"/>
        <v>3</v>
      </c>
      <c r="I46" s="16"/>
      <c r="J46" s="3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</row>
    <row r="47" spans="1:258" s="4" customFormat="1" ht="24.95" customHeight="1" outlineLevel="1">
      <c r="A47" s="3"/>
      <c r="B47" s="16" t="s">
        <v>92</v>
      </c>
      <c r="C47" s="68" t="s">
        <v>93</v>
      </c>
      <c r="D47" s="18" t="s">
        <v>18</v>
      </c>
      <c r="E47" s="19" t="s">
        <v>21</v>
      </c>
      <c r="F47" s="20">
        <v>46164</v>
      </c>
      <c r="G47" s="24">
        <v>46165</v>
      </c>
      <c r="H47" s="49">
        <f t="shared" si="0"/>
        <v>2</v>
      </c>
      <c r="I47" s="16"/>
      <c r="J47" s="3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</row>
    <row r="48" spans="1:258" ht="30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30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5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5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5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5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5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5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5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5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5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5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5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5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5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5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</row>
    <row r="303" spans="1:25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</row>
    <row r="304" spans="1:25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</row>
    <row r="305" spans="1:25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</row>
    <row r="306" spans="1:25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</row>
    <row r="307" spans="1:25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</row>
    <row r="308" spans="1:25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</row>
    <row r="309" spans="1:25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</row>
    <row r="310" spans="1:25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</row>
    <row r="311" spans="1:25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</row>
    <row r="312" spans="1:25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</row>
    <row r="313" spans="1:25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</row>
    <row r="314" spans="1:25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</row>
    <row r="315" spans="1:25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</row>
    <row r="316" spans="1:25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</row>
    <row r="317" spans="1:25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</row>
    <row r="318" spans="1:25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</row>
    <row r="319" spans="1:25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</row>
    <row r="320" spans="1:25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</row>
    <row r="321" spans="1:25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</row>
    <row r="322" spans="1:25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</row>
    <row r="323" spans="1:25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</row>
    <row r="324" spans="1:25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</row>
    <row r="325" spans="1:25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</row>
    <row r="326" spans="1:25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</row>
    <row r="327" spans="1:25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</row>
    <row r="328" spans="1:25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</row>
    <row r="329" spans="1:25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</row>
    <row r="330" spans="1:25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</row>
    <row r="331" spans="1:25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</row>
    <row r="332" spans="1:25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</row>
    <row r="333" spans="1:25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</row>
    <row r="334" spans="1:25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</row>
    <row r="335" spans="1:25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</row>
    <row r="336" spans="1:25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</row>
    <row r="337" spans="1:25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</row>
    <row r="338" spans="1:25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</row>
    <row r="339" spans="1:25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</row>
    <row r="340" spans="1:25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</row>
    <row r="341" spans="1:25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</row>
    <row r="342" spans="1:25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</row>
    <row r="343" spans="1:25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</row>
    <row r="344" spans="1:25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</row>
    <row r="345" spans="1:25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</row>
    <row r="346" spans="1:25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</row>
    <row r="347" spans="1:25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</row>
    <row r="348" spans="1:25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</row>
    <row r="349" spans="1:25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</row>
    <row r="350" spans="1:25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</row>
    <row r="351" spans="1:25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</row>
    <row r="352" spans="1:25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</row>
    <row r="353" spans="1:25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</row>
    <row r="354" spans="1:25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</row>
    <row r="355" spans="1:25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</row>
    <row r="356" spans="1:25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</row>
    <row r="357" spans="1:25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</row>
    <row r="358" spans="1:2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</row>
    <row r="359" spans="1:25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</row>
    <row r="360" spans="1:25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</row>
    <row r="361" spans="1:25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</row>
    <row r="362" spans="1:25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</row>
    <row r="363" spans="1:25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</row>
    <row r="364" spans="1:25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</row>
    <row r="365" spans="1:25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</row>
    <row r="366" spans="1:25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</row>
    <row r="367" spans="1:25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</row>
    <row r="368" spans="1:25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</row>
    <row r="369" spans="1:25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</row>
    <row r="370" spans="1:25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</row>
    <row r="371" spans="1:25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</row>
    <row r="372" spans="1:25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</row>
    <row r="373" spans="1:25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</row>
    <row r="374" spans="1:25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</row>
    <row r="375" spans="1:25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</row>
    <row r="376" spans="1:25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</row>
    <row r="377" spans="1:25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</row>
    <row r="378" spans="1:25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</row>
    <row r="379" spans="1:25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</row>
    <row r="380" spans="1:25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</row>
    <row r="381" spans="1:25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</row>
    <row r="382" spans="1:25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</row>
    <row r="383" spans="1:25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</row>
    <row r="384" spans="1:25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</row>
    <row r="385" spans="1:25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</row>
    <row r="386" spans="1:25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</row>
    <row r="387" spans="1:25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</row>
    <row r="388" spans="1:25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</row>
    <row r="389" spans="1:25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</row>
    <row r="390" spans="1:25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</row>
    <row r="391" spans="1:25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</row>
    <row r="392" spans="1:25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</row>
    <row r="393" spans="1:25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</row>
    <row r="394" spans="1:25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</row>
    <row r="395" spans="1:25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</row>
    <row r="396" spans="1:25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</row>
    <row r="397" spans="1:25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</row>
    <row r="398" spans="1:25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</row>
    <row r="399" spans="1:25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</row>
    <row r="400" spans="1:25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</row>
    <row r="401" spans="1:28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</row>
    <row r="402" spans="1:28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</row>
    <row r="403" spans="1:28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</row>
    <row r="404" spans="1:28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  <row r="992" spans="1:28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</row>
    <row r="993" spans="1:28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</row>
    <row r="994" spans="1:28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</row>
    <row r="995" spans="1:28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</row>
    <row r="996" spans="1:28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</row>
    <row r="997" spans="1:28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</row>
    <row r="998" spans="1:28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</row>
    <row r="999" spans="1:28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</row>
    <row r="1000" spans="1:28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</row>
    <row r="1001" spans="1:28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</row>
    <row r="1002" spans="1:28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</row>
    <row r="1003" spans="1:28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</row>
    <row r="1004" spans="1:28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</row>
    <row r="1005" spans="1:28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</row>
    <row r="1006" spans="1:28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</row>
    <row r="1007" spans="1:28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</row>
    <row r="1008" spans="1:28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</row>
    <row r="1009" spans="1:28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</row>
    <row r="1010" spans="1:28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</row>
    <row r="1011" spans="1:28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</row>
    <row r="1012" spans="1:28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</row>
    <row r="1013" spans="1:28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</row>
    <row r="1014" spans="1:28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</row>
    <row r="1015" spans="1:28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</row>
    <row r="1016" spans="1:28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</row>
    <row r="1017" spans="1:28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</row>
    <row r="1018" spans="1:28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</row>
    <row r="1019" spans="1:28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</row>
    <row r="1020" spans="1:28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</row>
    <row r="1021" spans="1:28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</row>
    <row r="1022" spans="1:28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</row>
    <row r="1023" spans="1:28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</row>
    <row r="1024" spans="1:28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</row>
    <row r="1025" spans="1:28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</row>
    <row r="1026" spans="1:28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</row>
    <row r="1027" spans="1:28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</row>
    <row r="1028" spans="1:28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</row>
    <row r="1029" spans="1:28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</row>
    <row r="1030" spans="1:28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</row>
    <row r="1031" spans="1:28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</row>
    <row r="1032" spans="1:28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</row>
    <row r="1033" spans="1:28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</row>
    <row r="1034" spans="1:28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</row>
    <row r="1035" spans="1:28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</row>
    <row r="1036" spans="1:28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</row>
    <row r="1037" spans="1:28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</row>
    <row r="1038" spans="1:28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</row>
    <row r="1039" spans="1:28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</row>
    <row r="1040" spans="1:28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</row>
    <row r="1041" spans="1:28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</row>
    <row r="1042" spans="1:28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</row>
    <row r="1043" spans="1:28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</row>
    <row r="1044" spans="1:28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</row>
    <row r="1045" spans="1:28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</row>
    <row r="1046" spans="1:28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</row>
    <row r="1047" spans="1:28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</row>
    <row r="1048" spans="1:28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</row>
    <row r="1049" spans="1:28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</row>
    <row r="1050" spans="1:28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</row>
    <row r="1051" spans="1:28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</row>
    <row r="1052" spans="1:28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</row>
    <row r="1053" spans="1:28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</row>
    <row r="1054" spans="1:28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</row>
    <row r="1055" spans="1:28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</row>
    <row r="1056" spans="1:28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</row>
    <row r="1057" spans="1:28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</row>
    <row r="1058" spans="1:28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</row>
    <row r="1059" spans="1:28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</row>
    <row r="1060" spans="1:28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</row>
    <row r="1061" spans="1:28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</row>
    <row r="1062" spans="1:28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</row>
    <row r="1063" spans="1:28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</row>
    <row r="1064" spans="1:28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</row>
    <row r="1065" spans="1:28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</row>
    <row r="1066" spans="1:28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</row>
    <row r="1067" spans="1:28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</row>
    <row r="1068" spans="1:28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</row>
    <row r="1069" spans="1:28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</row>
    <row r="1070" spans="1:28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</row>
    <row r="1071" spans="1:28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</row>
    <row r="1072" spans="1:28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</row>
    <row r="1073" spans="1:28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</row>
    <row r="1074" spans="1:28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</row>
    <row r="1075" spans="1:28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</row>
    <row r="1076" spans="1:28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</row>
    <row r="1077" spans="1:28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</row>
    <row r="1078" spans="1:28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</row>
    <row r="1079" spans="1:28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</row>
    <row r="1080" spans="1:28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</row>
    <row r="1081" spans="1:28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</row>
    <row r="1082" spans="1:2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</row>
    <row r="1083" spans="1:28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</row>
    <row r="1084" spans="1:28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</row>
    <row r="1085" spans="1:28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</row>
    <row r="1086" spans="1:28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</row>
    <row r="1087" spans="1:28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</row>
    <row r="1088" spans="1:28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</row>
    <row r="1089" spans="1:28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</row>
    <row r="1090" spans="1:28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</row>
    <row r="1091" spans="1:28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</row>
    <row r="1092" spans="1:28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</row>
    <row r="1093" spans="1:28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</row>
  </sheetData>
  <phoneticPr fontId="3" type="noConversion"/>
  <conditionalFormatting sqref="D22 D29:D47 D8:D15">
    <cfRule type="containsText" dxfId="35" priority="41" operator="containsText" text="On Hold">
      <formula>NOT(ISERROR(SEARCH("On Hold",D8)))</formula>
    </cfRule>
    <cfRule type="containsText" dxfId="34" priority="42" operator="containsText" text="Complete">
      <formula>NOT(ISERROR(SEARCH("Complete",D8)))</formula>
    </cfRule>
    <cfRule type="containsText" dxfId="33" priority="43" operator="containsText" text="In Progress">
      <formula>NOT(ISERROR(SEARCH("In Progress",D8)))</formula>
    </cfRule>
    <cfRule type="containsText" dxfId="32" priority="44" operator="containsText" text="Not Started">
      <formula>NOT(ISERROR(SEARCH("Not Started",D8)))</formula>
    </cfRule>
  </conditionalFormatting>
  <conditionalFormatting sqref="K8:K11">
    <cfRule type="containsText" dxfId="31" priority="53" stopIfTrue="1" operator="containsText" text="On Hold">
      <formula>NOT(ISERROR(SEARCH("On Hold",K8)))</formula>
    </cfRule>
    <cfRule type="containsText" dxfId="30" priority="54" operator="containsText" text="Complete">
      <formula>NOT(ISERROR(SEARCH("Complete",K8)))</formula>
    </cfRule>
    <cfRule type="containsText" dxfId="29" priority="55" operator="containsText" text="In Progress">
      <formula>NOT(ISERROR(SEARCH("In Progress",K8)))</formula>
    </cfRule>
    <cfRule type="containsText" dxfId="28" priority="56" operator="containsText" text="Not Started">
      <formula>NOT(ISERROR(SEARCH("Not Started",K8)))</formula>
    </cfRule>
  </conditionalFormatting>
  <conditionalFormatting sqref="D9:D15">
    <cfRule type="cellIs" dxfId="27" priority="40" operator="equal">
      <formula>"Completo"</formula>
    </cfRule>
  </conditionalFormatting>
  <conditionalFormatting sqref="D9:D15">
    <cfRule type="cellIs" dxfId="26" priority="37" operator="equal">
      <formula>"En Espera"</formula>
    </cfRule>
    <cfRule type="cellIs" dxfId="25" priority="38" operator="equal">
      <formula>"En Progreso"</formula>
    </cfRule>
    <cfRule type="cellIs" dxfId="24" priority="39" operator="equal">
      <formula>"No Iniciado"</formula>
    </cfRule>
  </conditionalFormatting>
  <conditionalFormatting sqref="D30:D37">
    <cfRule type="cellIs" dxfId="23" priority="32" operator="equal">
      <formula>"Completo"</formula>
    </cfRule>
  </conditionalFormatting>
  <conditionalFormatting sqref="D30:D37">
    <cfRule type="cellIs" dxfId="22" priority="29" operator="equal">
      <formula>"En Espera"</formula>
    </cfRule>
    <cfRule type="cellIs" dxfId="21" priority="30" operator="equal">
      <formula>"En Progreso"</formula>
    </cfRule>
    <cfRule type="cellIs" dxfId="20" priority="31" operator="equal">
      <formula>"No Iniciado"</formula>
    </cfRule>
  </conditionalFormatting>
  <conditionalFormatting sqref="D39:D47">
    <cfRule type="cellIs" dxfId="19" priority="28" operator="equal">
      <formula>"Completo"</formula>
    </cfRule>
  </conditionalFormatting>
  <conditionalFormatting sqref="D39:D47">
    <cfRule type="cellIs" dxfId="18" priority="25" operator="equal">
      <formula>"En Espera"</formula>
    </cfRule>
    <cfRule type="cellIs" dxfId="17" priority="26" operator="equal">
      <formula>"En Progreso"</formula>
    </cfRule>
    <cfRule type="cellIs" dxfId="16" priority="27" operator="equal">
      <formula>"No Iniciado"</formula>
    </cfRule>
  </conditionalFormatting>
  <conditionalFormatting sqref="D17">
    <cfRule type="containsText" dxfId="15" priority="21" stopIfTrue="1" operator="containsText" text="On Hold">
      <formula>NOT(ISERROR(SEARCH("On Hold",D17)))</formula>
    </cfRule>
    <cfRule type="containsText" dxfId="14" priority="22" operator="containsText" text="Complete">
      <formula>NOT(ISERROR(SEARCH("Complete",D17)))</formula>
    </cfRule>
    <cfRule type="containsText" dxfId="13" priority="23" operator="containsText" text="In Progress">
      <formula>NOT(ISERROR(SEARCH("In Progress",D17)))</formula>
    </cfRule>
    <cfRule type="containsText" dxfId="12" priority="24" operator="containsText" text="Not Started">
      <formula>NOT(ISERROR(SEARCH("Not Started",D17)))</formula>
    </cfRule>
  </conditionalFormatting>
  <conditionalFormatting sqref="D16">
    <cfRule type="containsText" dxfId="11" priority="17" stopIfTrue="1" operator="containsText" text="On Hold">
      <formula>NOT(ISERROR(SEARCH("On Hold",D16)))</formula>
    </cfRule>
    <cfRule type="containsText" dxfId="10" priority="18" operator="containsText" text="Complete">
      <formula>NOT(ISERROR(SEARCH("Complete",D16)))</formula>
    </cfRule>
    <cfRule type="containsText" dxfId="9" priority="19" operator="containsText" text="In Progress">
      <formula>NOT(ISERROR(SEARCH("In Progress",D16)))</formula>
    </cfRule>
    <cfRule type="containsText" dxfId="8" priority="20" operator="containsText" text="Not Started">
      <formula>NOT(ISERROR(SEARCH("Not Started",D16)))</formula>
    </cfRule>
  </conditionalFormatting>
  <conditionalFormatting sqref="D18:D21">
    <cfRule type="containsText" dxfId="7" priority="13" stopIfTrue="1" operator="containsText" text="On Hold">
      <formula>NOT(ISERROR(SEARCH("On Hold",D18)))</formula>
    </cfRule>
    <cfRule type="containsText" dxfId="6" priority="14" operator="containsText" text="Complete">
      <formula>NOT(ISERROR(SEARCH("Complete",D18)))</formula>
    </cfRule>
    <cfRule type="containsText" dxfId="5" priority="15" operator="containsText" text="In Progress">
      <formula>NOT(ISERROR(SEARCH("In Progress",D18)))</formula>
    </cfRule>
    <cfRule type="containsText" dxfId="4" priority="16" operator="containsText" text="Not Started">
      <formula>NOT(ISERROR(SEARCH("Not Started",D18)))</formula>
    </cfRule>
  </conditionalFormatting>
  <conditionalFormatting sqref="D23:D28">
    <cfRule type="containsText" dxfId="3" priority="9" stopIfTrue="1" operator="containsText" text="On Hold">
      <formula>NOT(ISERROR(SEARCH("On Hold",D23)))</formula>
    </cfRule>
    <cfRule type="containsText" dxfId="2" priority="10" operator="containsText" text="Complete">
      <formula>NOT(ISERROR(SEARCH("Complete",D23)))</formula>
    </cfRule>
    <cfRule type="containsText" dxfId="1" priority="11" operator="containsText" text="In Progress">
      <formula>NOT(ISERROR(SEARCH("In Progress",D23)))</formula>
    </cfRule>
    <cfRule type="containsText" dxfId="0" priority="12" operator="containsText" text="Not Started">
      <formula>NOT(ISERROR(SEARCH("Not Started",D23)))</formula>
    </cfRule>
  </conditionalFormatting>
  <dataValidations count="1">
    <dataValidation type="list" allowBlank="1" showInputMessage="1" showErrorMessage="1" sqref="D22 D8:D15 D29:D47" xr:uid="{00000000-0002-0000-0000-000000000000}">
      <formula1>$K$8:$K$11</formula1>
    </dataValidation>
  </dataValidations>
  <pageMargins left="0.3" right="0.3" top="0.3" bottom="0.3" header="0" footer="0"/>
  <pageSetup scale="70" fitToHeight="0" orientation="landscape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/>
  <cp:revision/>
  <dcterms:created xsi:type="dcterms:W3CDTF">2015-02-24T20:54:23Z</dcterms:created>
  <dcterms:modified xsi:type="dcterms:W3CDTF">2026-02-28T04:45:21Z</dcterms:modified>
  <cp:category/>
  <cp:contentStatus/>
</cp:coreProperties>
</file>