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ezd\Downloads\"/>
    </mc:Choice>
  </mc:AlternateContent>
  <xr:revisionPtr revIDLastSave="0" documentId="13_ncr:1_{1116A6AD-E285-43AB-90DA-ED6EEE197B1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esupuesto del proyecto" sheetId="1" r:id="rId1"/>
    <sheet name="listas desplegables" sheetId="2" r:id="rId2"/>
  </sheets>
  <definedNames>
    <definedName name="_xlnm.Print_Area" localSheetId="0">'Presupuesto del proyecto'!$B$1:$S$24</definedName>
    <definedName name="Priority">#REF!</definedName>
    <definedName name="Status">'listas desplegables'!$D$5:$D$7</definedName>
    <definedName name="YesNo">'listas desplegables'!$B$5:$B$6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4" i="1" l="1"/>
  <c r="P44" i="1"/>
  <c r="O44" i="1"/>
  <c r="N44" i="1"/>
  <c r="M43" i="1"/>
  <c r="M44" i="1" s="1"/>
  <c r="J43" i="1"/>
  <c r="Q42" i="1"/>
  <c r="M42" i="1"/>
  <c r="J42" i="1"/>
  <c r="M41" i="1"/>
  <c r="J41" i="1"/>
  <c r="Q41" i="1" s="1"/>
  <c r="M40" i="1"/>
  <c r="J40" i="1"/>
  <c r="Q40" i="1" s="1"/>
  <c r="Q39" i="1"/>
  <c r="M39" i="1"/>
  <c r="J39" i="1"/>
  <c r="R34" i="1"/>
  <c r="P34" i="1"/>
  <c r="O34" i="1"/>
  <c r="N34" i="1"/>
  <c r="M34" i="1"/>
  <c r="J34" i="1"/>
  <c r="M33" i="1"/>
  <c r="J33" i="1"/>
  <c r="Q33" i="1" s="1"/>
  <c r="S33" i="1" s="1"/>
  <c r="M32" i="1"/>
  <c r="J32" i="1"/>
  <c r="Q32" i="1" s="1"/>
  <c r="S32" i="1" s="1"/>
  <c r="M31" i="1"/>
  <c r="J31" i="1"/>
  <c r="Q31" i="1" s="1"/>
  <c r="S31" i="1" s="1"/>
  <c r="M30" i="1"/>
  <c r="J30" i="1"/>
  <c r="Q30" i="1" s="1"/>
  <c r="S30" i="1" s="1"/>
  <c r="M29" i="1"/>
  <c r="J29" i="1"/>
  <c r="Q29" i="1" s="1"/>
  <c r="R24" i="1"/>
  <c r="P24" i="1"/>
  <c r="O24" i="1"/>
  <c r="N24" i="1"/>
  <c r="M23" i="1"/>
  <c r="J23" i="1"/>
  <c r="M22" i="1"/>
  <c r="J22" i="1"/>
  <c r="M21" i="1"/>
  <c r="J21" i="1"/>
  <c r="Q21" i="1" s="1"/>
  <c r="S21" i="1" s="1"/>
  <c r="M20" i="1"/>
  <c r="J20" i="1"/>
  <c r="Q20" i="1" s="1"/>
  <c r="S20" i="1" s="1"/>
  <c r="Q19" i="1"/>
  <c r="S19" i="1" s="1"/>
  <c r="M19" i="1"/>
  <c r="J19" i="1"/>
  <c r="M18" i="1"/>
  <c r="J18" i="1"/>
  <c r="Q18" i="1" s="1"/>
  <c r="S18" i="1" s="1"/>
  <c r="M17" i="1"/>
  <c r="J17" i="1"/>
  <c r="Q17" i="1" s="1"/>
  <c r="R12" i="1"/>
  <c r="P12" i="1"/>
  <c r="P46" i="1" s="1"/>
  <c r="O12" i="1"/>
  <c r="O46" i="1" s="1"/>
  <c r="N12" i="1"/>
  <c r="N46" i="1" s="1"/>
  <c r="M11" i="1"/>
  <c r="M12" i="1" s="1"/>
  <c r="J11" i="1"/>
  <c r="M10" i="1"/>
  <c r="J10" i="1"/>
  <c r="Q10" i="1" s="1"/>
  <c r="S10" i="1" s="1"/>
  <c r="M9" i="1"/>
  <c r="J9" i="1"/>
  <c r="Q9" i="1" s="1"/>
  <c r="S9" i="1" s="1"/>
  <c r="M8" i="1"/>
  <c r="J8" i="1"/>
  <c r="Q8" i="1" s="1"/>
  <c r="S8" i="1" s="1"/>
  <c r="M7" i="1"/>
  <c r="J7" i="1"/>
  <c r="Q7" i="1" s="1"/>
  <c r="S7" i="1" s="1"/>
  <c r="M6" i="1"/>
  <c r="J6" i="1"/>
  <c r="Q6" i="1" s="1"/>
  <c r="S6" i="1" s="1"/>
  <c r="M5" i="1"/>
  <c r="J5" i="1"/>
  <c r="Q5" i="1" s="1"/>
  <c r="Q43" i="1" l="1"/>
  <c r="J44" i="1"/>
  <c r="Q44" i="1"/>
  <c r="S29" i="1"/>
  <c r="Q34" i="1"/>
  <c r="S34" i="1" s="1"/>
  <c r="J24" i="1"/>
  <c r="Q23" i="1"/>
  <c r="S23" i="1" s="1"/>
  <c r="Q22" i="1"/>
  <c r="M24" i="1"/>
  <c r="M46" i="1" s="1"/>
  <c r="S17" i="1"/>
  <c r="R46" i="1"/>
  <c r="J12" i="1"/>
  <c r="J46" i="1" s="1"/>
  <c r="Q11" i="1"/>
  <c r="S5" i="1"/>
  <c r="S22" i="1" l="1"/>
  <c r="Q24" i="1"/>
  <c r="S24" i="1" s="1"/>
  <c r="S11" i="1"/>
  <c r="Q12" i="1"/>
  <c r="S12" i="1" l="1"/>
  <c r="Q46" i="1"/>
  <c r="S46" i="1" s="1"/>
</calcChain>
</file>

<file path=xl/sharedStrings.xml><?xml version="1.0" encoding="utf-8"?>
<sst xmlns="http://schemas.openxmlformats.org/spreadsheetml/2006/main" count="207" uniqueCount="105">
  <si>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</si>
  <si>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</si>
  <si>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</si>
  <si>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</si>
  <si>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</si>
  <si>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</si>
  <si>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</si>
  <si>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</si>
  <si>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</si>
  <si>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</si>
  <si>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</si>
  <si>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</si>
  <si>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</si>
  <si>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</si>
  <si>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</si>
  <si>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</si>
  <si>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</si>
  <si>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</si>
  <si>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</si>
  <si>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</si>
  <si>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</si>
  <si>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</si>
  <si>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</si>
  <si>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</si>
  <si>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ANÁLISIS  Y OPERACIÓN</t>
  </si>
  <si>
    <t>BEEO: Detección de patrones de comportamiento a través de datos móviles.</t>
  </si>
  <si>
    <t>1.1 Acta Constitución</t>
  </si>
  <si>
    <t>Formalización del proyecto y roles del equipo.</t>
  </si>
  <si>
    <t>Aprobado</t>
  </si>
  <si>
    <t>1.2 Minería de Datos</t>
  </si>
  <si>
    <t>Estudio técnico para la recolección de rutinas.</t>
  </si>
  <si>
    <t>21/02/26</t>
  </si>
  <si>
    <t>1.3 Sensores Android</t>
  </si>
  <si>
    <t>Análisis de herramientas del OS para captura pasiva.</t>
  </si>
  <si>
    <t>En Progreso</t>
  </si>
  <si>
    <t>21/2/26</t>
  </si>
  <si>
    <t>28/02/26</t>
  </si>
  <si>
    <t>1.4 Infraestructura Oficina</t>
  </si>
  <si>
    <t>Adecuación de espacio físico y servicios.</t>
  </si>
  <si>
    <t>1.5 Hardware Desarrollo</t>
  </si>
  <si>
    <t>Adquisición de laptops de alta gama y servidores.</t>
  </si>
  <si>
    <t>1.6 Línea Base</t>
  </si>
  <si>
    <t>Construcción de patrones históricos de comportamiento.</t>
  </si>
  <si>
    <t>No Iniciado</t>
  </si>
  <si>
    <t>18/03/2026</t>
  </si>
  <si>
    <t>1.7 Documentación</t>
  </si>
  <si>
    <t>Entrega de manuales técnicos del primer hito.</t>
  </si>
  <si>
    <t>Requiere Revisión</t>
  </si>
  <si>
    <t>22/03/2026</t>
  </si>
  <si>
    <t>SUBTOTAL</t>
  </si>
  <si>
    <t>CONSTRUCCIÓN Y APP</t>
  </si>
  <si>
    <t>2.1 Base de Datos</t>
  </si>
  <si>
    <t>Creación y optimización de la arquitectura SQL/NoSQL.</t>
  </si>
  <si>
    <t>22/03/26</t>
  </si>
  <si>
    <t>25/03/26</t>
  </si>
  <si>
    <t>2.2 Backend Rutinas</t>
  </si>
  <si>
    <t>Lógica de servidor para identificar cambios relevantes.</t>
  </si>
  <si>
    <t>2.3 Interfaz Ionic</t>
  </si>
  <si>
    <t>Desarrollo del frontend móvil y navegación.</t>
  </si>
  <si>
    <t>2.4 Gestión Comercial</t>
  </si>
  <si>
    <t>Vinculación y búsqueda de usuarios piloto.</t>
  </si>
  <si>
    <t>17/04/26</t>
  </si>
  <si>
    <t>2.5 Seguridad Datos</t>
  </si>
  <si>
    <t>Implementación de protocolos de privacidad y cifrado.</t>
  </si>
  <si>
    <t>30/04/26</t>
  </si>
  <si>
    <t>2.6 QA &amp; Bug Fixing</t>
  </si>
  <si>
    <t>Pruebas de detección de errores y estabilidad.</t>
  </si>
  <si>
    <t>2.7 Despliegue App</t>
  </si>
  <si>
    <t>Publicación en Google Play y mantenimiento inicial.</t>
  </si>
  <si>
    <t>MODELADO Y DISEÑO</t>
  </si>
  <si>
    <t>Análisis técnico, diseño de arquitectura y prototipado del sistema.</t>
  </si>
  <si>
    <t>3.1 Análisis de Requerimientos</t>
  </si>
  <si>
    <t>Levantamiento y documentación de requisitos funcionales y no funcionales.</t>
  </si>
  <si>
    <t>Completo</t>
  </si>
  <si>
    <t>3.2 Documento de Requisitos</t>
  </si>
  <si>
    <t>Especificación formal del sistema y entregables técnicos.</t>
  </si>
  <si>
    <t>3.3 Diseño Técnico</t>
  </si>
  <si>
    <t>Arquitectura del sistema, diagramas y modelado de datos.</t>
  </si>
  <si>
    <t>3.4 Análisis BD de Referencia</t>
  </si>
  <si>
    <t>Estudio de bases de datos existentes y patrones de referencia.</t>
  </si>
  <si>
    <t>3.5 Prototipo del Sistema</t>
  </si>
  <si>
    <t>Construcción del prototipo funcional e interfaz inicial.</t>
  </si>
  <si>
    <t>PRUEBAS Y CIERRE</t>
  </si>
  <si>
    <t>Validación, pruebas finales, lanzamiento y cierre formal del proyecto.</t>
  </si>
  <si>
    <t>4.1 Pruebas Funcionales</t>
  </si>
  <si>
    <t>Pruebas funcionales y técnicas del sistema completo.</t>
  </si>
  <si>
    <t>4.2 Validación con Cliente</t>
  </si>
  <si>
    <t>Sesiones de validación y aprobación con usuario final.</t>
  </si>
  <si>
    <t>4.3 Lanzamiento a Producción</t>
  </si>
  <si>
    <t>Despliegue definitivo en entorno de producción.</t>
  </si>
  <si>
    <t>4.4 Entrega Formal</t>
  </si>
  <si>
    <t>Entrega de documentación y actas de cierre al cliente.</t>
  </si>
  <si>
    <t>4.5 Acta de Cierre</t>
  </si>
  <si>
    <t>Firma del acta de cierre y lecciones aprendidas.</t>
  </si>
  <si>
    <t>TOTAL GENERAL DEL PROYECTO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</si>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</sst>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dd/yy;@"/>
    <numFmt numFmtId="165" formatCode="\$#,##0_);&quot;($&quot;#,##0\)"/>
    <numFmt numFmtId="166" formatCode="&quot;$ &quot;#,##0;[Red]&quot;-$ &quot;#,##0"/>
    <numFmt numFmtId="167" formatCode="_(\$* #,##0_);_(\$* \(#,##0\);_(\$* \-??_);_(@_)"/>
    <numFmt numFmtId="168" formatCode="0.0"/>
    <numFmt numFmtId="169" formatCode="\$#,##0.00_);&quot;($&quot;#,##0.00\)"/>
    <numFmt numFmtId="170" formatCode="_(* #,##0.00_);_(* \(#,##0.00\);_(* \-??_);_(@_)"/>
    <numFmt numFmtId="171" formatCode="dd/mm/yy"/>
  </numFmts>
  <fonts count="31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4"/>
      <color theme="1" tint="0.3498947111423078"/>
      <name val="Century Gothic"/>
      <family val="1"/>
      <charset val="1"/>
    </font>
    <font>
      <b/>
      <sz val="22"/>
      <color theme="1" tint="0.3498947111423078"/>
      <name val="Century Gothic"/>
      <family val="1"/>
      <charset val="1"/>
    </font>
    <font>
      <b/>
      <sz val="20"/>
      <color theme="0" tint="-0.499984740745262"/>
      <name val="Century Gothic"/>
      <family val="1"/>
      <charset val="1"/>
    </font>
    <font>
      <sz val="12"/>
      <color theme="1" tint="0.3498947111423078"/>
      <name val="Century Gothic"/>
      <family val="1"/>
      <charset val="1"/>
    </font>
    <font>
      <b/>
      <sz val="10"/>
      <color theme="0"/>
      <name val="Century Gothic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color theme="0"/>
      <name val="Century Gothic"/>
      <family val="1"/>
      <charset val="1"/>
    </font>
    <font>
      <b/>
      <sz val="10"/>
      <name val="Arial"/>
      <charset val="1"/>
    </font>
    <font>
      <u/>
      <sz val="10"/>
      <color theme="1"/>
      <name val="Century Gothic"/>
      <family val="1"/>
      <charset val="1"/>
    </font>
    <font>
      <b/>
      <sz val="11"/>
      <color rgb="FFFFFFFF"/>
      <name val="Arial"/>
      <charset val="1"/>
    </font>
    <font>
      <sz val="22"/>
      <color theme="1" tint="0.3498947111423078"/>
      <name val="Century Gothic"/>
      <family val="1"/>
      <charset val="1"/>
    </font>
    <font>
      <b/>
      <sz val="10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  <font>
      <b/>
      <sz val="22"/>
      <color theme="1" tint="0.3498947111423078"/>
      <name val="Century Gothic"/>
      <family val="2"/>
    </font>
    <font>
      <b/>
      <sz val="20"/>
      <color theme="0" tint="-0.499984740745262"/>
      <name val="Century Gothic"/>
      <family val="2"/>
    </font>
    <font>
      <sz val="12"/>
      <color theme="1" tint="0.3498947111423078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1"/>
      <color rgb="FF0F1115"/>
      <name val="Century Gothic"/>
      <family val="2"/>
    </font>
    <font>
      <sz val="12"/>
      <color theme="1"/>
      <name val="Century Gothic"/>
      <family val="2"/>
    </font>
    <font>
      <sz val="10"/>
      <name val="Century Gothic"/>
      <family val="2"/>
    </font>
    <font>
      <sz val="10"/>
      <color rgb="FF0000FF"/>
      <name val="Century Gothic"/>
      <family val="2"/>
    </font>
    <font>
      <sz val="10"/>
      <color theme="0"/>
      <name val="Century Gothic"/>
      <family val="2"/>
    </font>
    <font>
      <b/>
      <sz val="10"/>
      <name val="Century Gothic"/>
      <family val="2"/>
    </font>
    <font>
      <u/>
      <sz val="10"/>
      <color theme="1"/>
      <name val="Century Gothic"/>
      <family val="2"/>
    </font>
    <font>
      <b/>
      <sz val="11"/>
      <color rgb="FFFFFFFF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 tint="0.3498947111423078"/>
        <bgColor rgb="FF44546A"/>
      </patternFill>
    </fill>
    <fill>
      <patternFill patternType="solid">
        <fgColor theme="3" tint="-0.249977111117893"/>
        <bgColor rgb="FF44546A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2" tint="-0.249977111117893"/>
        <bgColor rgb="FFA6A6A6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3"/>
        <bgColor rgb="FF595959"/>
      </patternFill>
    </fill>
    <fill>
      <patternFill patternType="solid">
        <fgColor rgb="FF1F6B30"/>
        <bgColor rgb="FF44546A"/>
      </patternFill>
    </fill>
    <fill>
      <patternFill patternType="solid">
        <fgColor rgb="FFB6FBF5"/>
        <bgColor rgb="FFABEFEA"/>
      </patternFill>
    </fill>
    <fill>
      <patternFill patternType="solid">
        <fgColor rgb="FF00EAF0"/>
        <bgColor rgb="FF00FFFF"/>
      </patternFill>
    </fill>
    <fill>
      <patternFill patternType="solid">
        <fgColor theme="7" tint="0.79989013336588644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FABAB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3C25B"/>
      </patternFill>
    </fill>
    <fill>
      <patternFill patternType="solid">
        <fgColor rgb="FFABEFEA"/>
        <bgColor rgb="FFB6FBF5"/>
      </patternFill>
    </fill>
    <fill>
      <patternFill patternType="solid">
        <fgColor rgb="FF5EE9E7"/>
        <bgColor rgb="FFABEFEA"/>
      </patternFill>
    </fill>
    <fill>
      <patternFill patternType="solid">
        <fgColor theme="7" tint="0.39988402966399123"/>
        <bgColor rgb="FFF4B183"/>
      </patternFill>
    </fill>
  </fills>
  <borders count="12">
    <border>
      <left/>
      <right/>
      <top/>
      <bottom/>
      <diagonal/>
    </border>
    <border>
      <left/>
      <right style="dashed">
        <color theme="0" tint="-0.34998626667073579"/>
      </right>
      <top/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double">
        <color theme="0" tint="-0.34998626667073579"/>
      </right>
      <top style="medium">
        <color theme="0" tint="-0.34998626667073579"/>
      </top>
      <bottom/>
      <diagonal/>
    </border>
    <border>
      <left style="double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double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7" fillId="4" borderId="6" xfId="0" applyFont="1" applyFill="1" applyBorder="1" applyAlignment="1">
      <alignment horizontal="left" vertical="center" wrapText="1" indent="1"/>
    </xf>
    <xf numFmtId="0" fontId="2" fillId="5" borderId="6" xfId="0" applyFont="1" applyFill="1" applyBorder="1" applyAlignment="1">
      <alignment horizontal="left" vertical="center" wrapText="1" inden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7" fillId="9" borderId="6" xfId="0" applyFont="1" applyFill="1" applyBorder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10" fillId="2" borderId="0" xfId="0" applyFont="1" applyFill="1" applyAlignment="1">
      <alignment horizontal="center" wrapText="1"/>
    </xf>
    <xf numFmtId="0" fontId="11" fillId="0" borderId="6" xfId="0" applyFont="1" applyBorder="1" applyAlignment="1">
      <alignment vertical="center" wrapText="1"/>
    </xf>
    <xf numFmtId="0" fontId="11" fillId="9" borderId="6" xfId="0" applyFont="1" applyFill="1" applyBorder="1" applyAlignment="1">
      <alignment horizontal="left" vertical="center" wrapText="1" indent="1"/>
    </xf>
    <xf numFmtId="0" fontId="13" fillId="10" borderId="0" xfId="0" applyFont="1" applyFill="1" applyAlignment="1">
      <alignment horizontal="left" vertical="center" wrapText="1" indent="1"/>
    </xf>
    <xf numFmtId="0" fontId="13" fillId="10" borderId="6" xfId="0" applyFont="1" applyFill="1" applyBorder="1" applyAlignment="1">
      <alignment horizontal="left" vertical="center" wrapText="1" indent="1"/>
    </xf>
    <xf numFmtId="0" fontId="14" fillId="2" borderId="0" xfId="0" applyFont="1" applyFill="1" applyAlignment="1">
      <alignment vertical="center"/>
    </xf>
    <xf numFmtId="0" fontId="15" fillId="8" borderId="10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left" vertical="center" indent="1"/>
    </xf>
    <xf numFmtId="0" fontId="2" fillId="13" borderId="11" xfId="0" applyFont="1" applyFill="1" applyBorder="1" applyAlignment="1">
      <alignment horizontal="left" vertical="center" wrapText="1" indent="1"/>
    </xf>
    <xf numFmtId="0" fontId="16" fillId="8" borderId="11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left" vertical="center" indent="1"/>
    </xf>
    <xf numFmtId="0" fontId="16" fillId="15" borderId="11" xfId="0" applyFont="1" applyFill="1" applyBorder="1" applyAlignment="1">
      <alignment horizontal="left" vertical="center" wrapText="1" indent="1" readingOrder="1"/>
    </xf>
    <xf numFmtId="0" fontId="16" fillId="16" borderId="11" xfId="0" applyFont="1" applyFill="1" applyBorder="1" applyAlignment="1">
      <alignment horizontal="left" vertical="center" indent="1"/>
    </xf>
    <xf numFmtId="0" fontId="16" fillId="17" borderId="11" xfId="0" applyFont="1" applyFill="1" applyBorder="1" applyAlignment="1">
      <alignment horizontal="left" vertical="center" wrapText="1" indent="1" readingOrder="1"/>
    </xf>
    <xf numFmtId="0" fontId="17" fillId="0" borderId="0" xfId="0" applyFont="1"/>
    <xf numFmtId="0" fontId="2" fillId="18" borderId="11" xfId="0" applyFont="1" applyFill="1" applyBorder="1" applyAlignment="1">
      <alignment horizontal="left" vertical="center" wrapText="1" indent="1"/>
    </xf>
    <xf numFmtId="0" fontId="2" fillId="19" borderId="11" xfId="0" applyFont="1" applyFill="1" applyBorder="1" applyAlignment="1">
      <alignment horizontal="left" vertical="center" wrapText="1" indent="1"/>
    </xf>
    <xf numFmtId="0" fontId="2" fillId="20" borderId="11" xfId="0" applyFont="1" applyFill="1" applyBorder="1" applyAlignment="1">
      <alignment horizontal="left" vertical="center" wrapText="1" indent="1"/>
    </xf>
    <xf numFmtId="0" fontId="2" fillId="8" borderId="11" xfId="0" applyFont="1" applyFill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center" wrapText="1" indent="1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1" xfId="0" applyFont="1" applyFill="1" applyBorder="1" applyAlignment="1">
      <alignment vertical="center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 indent="1"/>
    </xf>
    <xf numFmtId="0" fontId="21" fillId="4" borderId="6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left" vertical="center" wrapText="1" indent="1"/>
    </xf>
    <xf numFmtId="164" fontId="22" fillId="5" borderId="6" xfId="0" applyNumberFormat="1" applyFont="1" applyFill="1" applyBorder="1" applyAlignment="1">
      <alignment horizontal="left" vertical="center" wrapText="1" indent="1"/>
    </xf>
    <xf numFmtId="0" fontId="22" fillId="5" borderId="6" xfId="0" applyFont="1" applyFill="1" applyBorder="1" applyAlignment="1">
      <alignment horizontal="left" vertical="center"/>
    </xf>
    <xf numFmtId="0" fontId="22" fillId="5" borderId="6" xfId="0" applyFont="1" applyFill="1" applyBorder="1" applyAlignment="1">
      <alignment horizontal="center" vertical="center"/>
    </xf>
    <xf numFmtId="165" fontId="23" fillId="0" borderId="0" xfId="0" applyNumberFormat="1" applyFont="1"/>
    <xf numFmtId="0" fontId="22" fillId="2" borderId="6" xfId="0" applyFont="1" applyFill="1" applyBorder="1" applyAlignment="1">
      <alignment horizontal="left" vertical="center" wrapText="1" indent="1"/>
    </xf>
    <xf numFmtId="164" fontId="22" fillId="0" borderId="6" xfId="0" applyNumberFormat="1" applyFont="1" applyBorder="1" applyAlignment="1" applyProtection="1">
      <alignment horizontal="left" vertical="center" wrapText="1" indent="1"/>
      <protection locked="0"/>
    </xf>
    <xf numFmtId="0" fontId="24" fillId="0" borderId="6" xfId="0" applyFont="1" applyBorder="1" applyAlignment="1">
      <alignment vertical="center" wrapText="1"/>
    </xf>
    <xf numFmtId="166" fontId="24" fillId="0" borderId="6" xfId="0" applyNumberFormat="1" applyFont="1" applyBorder="1" applyAlignment="1">
      <alignment vertical="center" wrapText="1"/>
    </xf>
    <xf numFmtId="165" fontId="25" fillId="5" borderId="6" xfId="0" applyNumberFormat="1" applyFont="1" applyFill="1" applyBorder="1" applyAlignment="1" applyProtection="1">
      <alignment horizontal="right" vertical="center"/>
      <protection locked="0"/>
    </xf>
    <xf numFmtId="165" fontId="25" fillId="0" borderId="6" xfId="0" applyNumberFormat="1" applyFont="1" applyBorder="1" applyAlignment="1" applyProtection="1">
      <alignment horizontal="right" vertical="center"/>
      <protection locked="0"/>
    </xf>
    <xf numFmtId="165" fontId="23" fillId="0" borderId="6" xfId="0" applyNumberFormat="1" applyFont="1" applyBorder="1"/>
    <xf numFmtId="167" fontId="26" fillId="6" borderId="6" xfId="0" applyNumberFormat="1" applyFont="1" applyFill="1" applyBorder="1" applyAlignment="1" applyProtection="1">
      <alignment horizontal="left" vertical="center"/>
      <protection locked="0"/>
    </xf>
    <xf numFmtId="167" fontId="23" fillId="7" borderId="0" xfId="0" applyNumberFormat="1" applyFont="1" applyFill="1"/>
    <xf numFmtId="167" fontId="22" fillId="8" borderId="6" xfId="0" applyNumberFormat="1" applyFont="1" applyFill="1" applyBorder="1" applyAlignment="1">
      <alignment horizontal="left" vertical="center"/>
    </xf>
    <xf numFmtId="0" fontId="27" fillId="9" borderId="6" xfId="0" applyFont="1" applyFill="1" applyBorder="1" applyAlignment="1">
      <alignment horizontal="left" vertical="center" wrapText="1" indent="1"/>
    </xf>
    <xf numFmtId="164" fontId="21" fillId="9" borderId="6" xfId="0" applyNumberFormat="1" applyFont="1" applyFill="1" applyBorder="1" applyAlignment="1">
      <alignment horizontal="left" vertical="center" wrapText="1" indent="1"/>
    </xf>
    <xf numFmtId="168" fontId="25" fillId="9" borderId="6" xfId="0" applyNumberFormat="1" applyFont="1" applyFill="1" applyBorder="1" applyAlignment="1" applyProtection="1">
      <alignment horizontal="left" vertical="center"/>
      <protection locked="0"/>
    </xf>
    <xf numFmtId="169" fontId="21" fillId="9" borderId="6" xfId="0" applyNumberFormat="1" applyFont="1" applyFill="1" applyBorder="1" applyAlignment="1" applyProtection="1">
      <alignment vertical="center"/>
      <protection locked="0"/>
    </xf>
    <xf numFmtId="165" fontId="21" fillId="9" borderId="6" xfId="0" applyNumberFormat="1" applyFont="1" applyFill="1" applyBorder="1" applyAlignment="1" applyProtection="1">
      <alignment vertical="center"/>
      <protection locked="0"/>
    </xf>
    <xf numFmtId="167" fontId="21" fillId="9" borderId="6" xfId="0" applyNumberFormat="1" applyFont="1" applyFill="1" applyBorder="1" applyAlignment="1">
      <alignment vertical="center"/>
    </xf>
    <xf numFmtId="167" fontId="28" fillId="9" borderId="6" xfId="0" applyNumberFormat="1" applyFont="1" applyFill="1" applyBorder="1" applyAlignment="1" applyProtection="1">
      <alignment vertical="center"/>
      <protection locked="0"/>
    </xf>
    <xf numFmtId="167" fontId="21" fillId="9" borderId="6" xfId="0" applyNumberFormat="1" applyFont="1" applyFill="1" applyBorder="1" applyAlignment="1" applyProtection="1">
      <alignment vertical="center"/>
      <protection locked="0"/>
    </xf>
    <xf numFmtId="0" fontId="27" fillId="2" borderId="0" xfId="0" applyFont="1" applyFill="1" applyAlignment="1">
      <alignment horizontal="left" vertical="center" wrapText="1" indent="1"/>
    </xf>
    <xf numFmtId="168" fontId="25" fillId="2" borderId="0" xfId="0" applyNumberFormat="1" applyFont="1" applyFill="1" applyAlignment="1" applyProtection="1">
      <alignment horizontal="left" vertical="center" wrapText="1" indent="1"/>
      <protection locked="0"/>
    </xf>
    <xf numFmtId="169" fontId="25" fillId="2" borderId="0" xfId="0" applyNumberFormat="1" applyFont="1" applyFill="1" applyAlignment="1" applyProtection="1">
      <alignment horizontal="left" vertical="center" wrapText="1" indent="1"/>
      <protection locked="0"/>
    </xf>
    <xf numFmtId="170" fontId="25" fillId="2" borderId="0" xfId="0" applyNumberFormat="1" applyFont="1" applyFill="1" applyAlignment="1">
      <alignment horizontal="left" vertical="center" wrapText="1" indent="1"/>
    </xf>
    <xf numFmtId="170" fontId="28" fillId="2" borderId="0" xfId="0" applyNumberFormat="1" applyFont="1" applyFill="1" applyAlignment="1" applyProtection="1">
      <alignment horizontal="left" vertical="center" wrapText="1" indent="1"/>
      <protection locked="0"/>
    </xf>
    <xf numFmtId="168" fontId="25" fillId="0" borderId="6" xfId="0" applyNumberFormat="1" applyFont="1" applyBorder="1" applyAlignment="1" applyProtection="1">
      <alignment horizontal="center" vertical="center"/>
      <protection locked="0"/>
    </xf>
    <xf numFmtId="167" fontId="22" fillId="0" borderId="6" xfId="0" applyNumberFormat="1" applyFont="1" applyBorder="1" applyAlignment="1">
      <alignment vertical="center"/>
    </xf>
    <xf numFmtId="167" fontId="29" fillId="8" borderId="6" xfId="0" applyNumberFormat="1" applyFont="1" applyFill="1" applyBorder="1" applyAlignment="1">
      <alignment horizontal="left" vertical="center"/>
    </xf>
    <xf numFmtId="0" fontId="27" fillId="2" borderId="0" xfId="0" applyFont="1" applyFill="1" applyAlignment="1">
      <alignment horizontal="center" wrapText="1"/>
    </xf>
    <xf numFmtId="168" fontId="25" fillId="2" borderId="0" xfId="0" applyNumberFormat="1" applyFont="1" applyFill="1" applyAlignment="1" applyProtection="1">
      <alignment wrapText="1"/>
      <protection locked="0"/>
    </xf>
    <xf numFmtId="169" fontId="25" fillId="2" borderId="0" xfId="0" applyNumberFormat="1" applyFont="1" applyFill="1" applyAlignment="1" applyProtection="1">
      <alignment wrapText="1"/>
      <protection locked="0"/>
    </xf>
    <xf numFmtId="170" fontId="25" fillId="2" borderId="0" xfId="0" applyNumberFormat="1" applyFont="1" applyFill="1" applyAlignment="1">
      <alignment wrapText="1"/>
    </xf>
    <xf numFmtId="170" fontId="28" fillId="2" borderId="0" xfId="0" applyNumberFormat="1" applyFont="1" applyFill="1" applyAlignment="1" applyProtection="1">
      <alignment horizontal="left" vertical="top" wrapText="1"/>
      <protection locked="0"/>
    </xf>
    <xf numFmtId="0" fontId="21" fillId="3" borderId="2" xfId="0" applyFont="1" applyFill="1" applyBorder="1" applyAlignment="1">
      <alignment horizontal="center" vertical="center" wrapText="1"/>
    </xf>
    <xf numFmtId="0" fontId="24" fillId="0" borderId="7" xfId="0" applyFont="1" applyBorder="1"/>
    <xf numFmtId="0" fontId="24" fillId="0" borderId="2" xfId="0" applyFont="1" applyBorder="1"/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4" fillId="0" borderId="8" xfId="0" applyFont="1" applyBorder="1"/>
    <xf numFmtId="0" fontId="21" fillId="3" borderId="5" xfId="0" applyFont="1" applyFill="1" applyBorder="1" applyAlignment="1">
      <alignment horizontal="center" vertical="center" wrapText="1"/>
    </xf>
    <xf numFmtId="0" fontId="24" fillId="0" borderId="9" xfId="0" applyFont="1" applyBorder="1"/>
    <xf numFmtId="171" fontId="22" fillId="0" borderId="6" xfId="0" applyNumberFormat="1" applyFont="1" applyBorder="1" applyAlignment="1">
      <alignment horizontal="left" vertical="center" wrapText="1" indent="1"/>
    </xf>
    <xf numFmtId="164" fontId="22" fillId="0" borderId="6" xfId="0" applyNumberFormat="1" applyFont="1" applyBorder="1" applyAlignment="1">
      <alignment horizontal="left" vertical="center" wrapText="1" indent="1"/>
    </xf>
    <xf numFmtId="165" fontId="25" fillId="5" borderId="6" xfId="0" applyNumberFormat="1" applyFont="1" applyFill="1" applyBorder="1" applyAlignment="1">
      <alignment horizontal="right" vertical="center"/>
    </xf>
    <xf numFmtId="165" fontId="25" fillId="0" borderId="6" xfId="0" applyNumberFormat="1" applyFont="1" applyBorder="1" applyAlignment="1">
      <alignment horizontal="right" vertical="center"/>
    </xf>
    <xf numFmtId="167" fontId="26" fillId="6" borderId="6" xfId="0" applyNumberFormat="1" applyFont="1" applyFill="1" applyBorder="1" applyAlignment="1">
      <alignment horizontal="left" vertical="center"/>
    </xf>
    <xf numFmtId="168" fontId="25" fillId="9" borderId="6" xfId="0" applyNumberFormat="1" applyFont="1" applyFill="1" applyBorder="1" applyAlignment="1">
      <alignment horizontal="left" vertical="center"/>
    </xf>
    <xf numFmtId="169" fontId="21" fillId="9" borderId="6" xfId="0" applyNumberFormat="1" applyFont="1" applyFill="1" applyBorder="1" applyAlignment="1">
      <alignment vertical="center"/>
    </xf>
    <xf numFmtId="165" fontId="21" fillId="9" borderId="6" xfId="0" applyNumberFormat="1" applyFont="1" applyFill="1" applyBorder="1" applyAlignment="1">
      <alignment vertical="center"/>
    </xf>
    <xf numFmtId="167" fontId="28" fillId="9" borderId="6" xfId="0" applyNumberFormat="1" applyFont="1" applyFill="1" applyBorder="1" applyAlignment="1">
      <alignment vertical="center"/>
    </xf>
    <xf numFmtId="0" fontId="22" fillId="2" borderId="0" xfId="0" applyFont="1" applyFill="1" applyAlignment="1">
      <alignment wrapText="1"/>
    </xf>
    <xf numFmtId="0" fontId="30" fillId="10" borderId="6" xfId="0" applyFont="1" applyFill="1" applyBorder="1" applyAlignment="1">
      <alignment horizontal="left" vertical="center" wrapText="1" indent="1"/>
    </xf>
    <xf numFmtId="164" fontId="30" fillId="10" borderId="6" xfId="0" applyNumberFormat="1" applyFont="1" applyFill="1" applyBorder="1" applyAlignment="1">
      <alignment horizontal="left" vertical="center" wrapText="1" indent="1"/>
    </xf>
    <xf numFmtId="168" fontId="30" fillId="10" borderId="6" xfId="0" applyNumberFormat="1" applyFont="1" applyFill="1" applyBorder="1" applyAlignment="1">
      <alignment horizontal="left" vertical="center"/>
    </xf>
    <xf numFmtId="169" fontId="30" fillId="10" borderId="6" xfId="0" applyNumberFormat="1" applyFont="1" applyFill="1" applyBorder="1" applyAlignment="1">
      <alignment vertical="center"/>
    </xf>
    <xf numFmtId="165" fontId="30" fillId="10" borderId="6" xfId="0" applyNumberFormat="1" applyFont="1" applyFill="1" applyBorder="1" applyAlignment="1">
      <alignment vertical="center"/>
    </xf>
    <xf numFmtId="167" fontId="30" fillId="10" borderId="6" xfId="0" applyNumberFormat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44"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EAF0"/>
        </patternFill>
      </fill>
    </dxf>
    <dxf>
      <font>
        <color rgb="FF000000"/>
      </font>
      <fill>
        <patternFill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rgb="FF600000"/>
      </font>
      <fill>
        <patternFill>
          <bgColor rgb="FFFF927C"/>
        </patternFill>
      </fill>
    </dxf>
    <dxf>
      <font>
        <color rgb="FF000000"/>
      </font>
      <fill>
        <patternFill>
          <bgColor rgb="FFE7FFCA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77111117893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5EE9E7"/>
        </patternFill>
      </fill>
    </dxf>
    <dxf>
      <fill>
        <patternFill>
          <bgColor theme="0" tint="-0.249977111117893"/>
        </patternFill>
      </fill>
    </dxf>
    <dxf>
      <fill>
        <patternFill>
          <bgColor rgb="FFFFC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AF0"/>
      <rgbColor rgb="FF600000"/>
      <rgbColor rgb="FF1F6B30"/>
      <rgbColor rgb="FF000080"/>
      <rgbColor rgb="FF808000"/>
      <rgbColor rgb="FF800080"/>
      <rgbColor rgb="FF03C25B"/>
      <rgbColor rgb="FFBFBFBF"/>
      <rgbColor rgb="FF808080"/>
      <rgbColor rgb="FFAFABAB"/>
      <rgbColor rgb="FF993366"/>
      <rgbColor rgb="FFFFF2CC"/>
      <rgbColor rgb="FFB6FBF5"/>
      <rgbColor rgb="FF660066"/>
      <rgbColor rgb="FFFF927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BEFEA"/>
      <rgbColor rgb="FFE7FFCA"/>
      <rgbColor rgb="FFF2F2F2"/>
      <rgbColor rgb="FFADB9CA"/>
      <rgbColor rgb="FFF4B183"/>
      <rgbColor rgb="FFDAE3F3"/>
      <rgbColor rgb="FFFFD966"/>
      <rgbColor rgb="FF3366FF"/>
      <rgbColor rgb="FF5EE9E7"/>
      <rgbColor rgb="FF92D050"/>
      <rgbColor rgb="FFFFC000"/>
      <rgbColor rgb="FFFF9900"/>
      <rgbColor rgb="FFFF6600"/>
      <rgbColor rgb="FF595959"/>
      <rgbColor rgb="FFA6A6A6"/>
      <rgbColor rgb="FF003366"/>
      <rgbColor rgb="FF00B050"/>
      <rgbColor rgb="FF0F1115"/>
      <rgbColor rgb="FF333300"/>
      <rgbColor rgb="FF993300"/>
      <rgbColor rgb="FF993366"/>
      <rgbColor rgb="FF44546A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AO413"/>
  <sheetViews>
    <sheetView showGridLines="0" tabSelected="1" topLeftCell="D1" zoomScale="85" zoomScaleNormal="85" workbookViewId="0">
      <selection activeCell="J3" sqref="J3"/>
    </sheetView>
  </sheetViews>
  <sheetFormatPr defaultColWidth="11" defaultRowHeight="13.5" x14ac:dyDescent="0.25"/>
  <cols>
    <col min="1" max="1" width="3.125" style="1" customWidth="1"/>
    <col min="2" max="2" width="19.375" style="1" customWidth="1"/>
    <col min="3" max="3" width="37.75" style="1" customWidth="1"/>
    <col min="4" max="4" width="12.875" style="1" customWidth="1"/>
    <col min="5" max="7" width="11.625" style="1" customWidth="1"/>
    <col min="8" max="8" width="8.875" style="1" customWidth="1"/>
    <col min="9" max="9" width="10" style="1" customWidth="1"/>
    <col min="10" max="10" width="21.375" style="1" customWidth="1"/>
    <col min="11" max="11" width="8.875" style="1" customWidth="1"/>
    <col min="12" max="12" width="16.25" style="1" customWidth="1"/>
    <col min="13" max="13" width="18.75" style="1" customWidth="1"/>
    <col min="14" max="14" width="20.375" style="1" customWidth="1"/>
    <col min="15" max="15" width="11.875" style="1" customWidth="1"/>
    <col min="16" max="16" width="20" style="1" customWidth="1"/>
    <col min="17" max="17" width="20.125" style="1" customWidth="1"/>
    <col min="18" max="18" width="20.5" style="1" customWidth="1"/>
    <col min="19" max="19" width="21.75" style="1" customWidth="1"/>
    <col min="20" max="20" width="3.125" style="1" customWidth="1"/>
    <col min="21" max="16384" width="11" style="1"/>
  </cols>
  <sheetData>
    <row r="1" spans="1:41" ht="45" customHeight="1" x14ac:dyDescent="0.25">
      <c r="A1" s="2"/>
      <c r="B1" s="3" t="s">
        <v>0</v>
      </c>
      <c r="C1" s="4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  <c r="P1" s="38"/>
      <c r="Q1" s="38"/>
      <c r="R1" s="38"/>
      <c r="S1" s="38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s="8" customFormat="1" ht="34.5" customHeight="1" x14ac:dyDescent="0.25">
      <c r="A2" s="6"/>
      <c r="B2" s="7" t="s">
        <v>1</v>
      </c>
      <c r="C2" s="7"/>
      <c r="D2" s="39"/>
      <c r="E2" s="39"/>
      <c r="F2" s="39"/>
      <c r="G2" s="40"/>
      <c r="H2" s="41" t="s">
        <v>2</v>
      </c>
      <c r="I2" s="41"/>
      <c r="J2" s="41"/>
      <c r="K2" s="42" t="s">
        <v>3</v>
      </c>
      <c r="L2" s="42"/>
      <c r="M2" s="42"/>
      <c r="N2" s="43" t="s">
        <v>4</v>
      </c>
      <c r="O2" s="43"/>
      <c r="P2" s="43"/>
      <c r="Q2" s="44" t="s">
        <v>5</v>
      </c>
      <c r="R2" s="44"/>
      <c r="S2" s="44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s="8" customFormat="1" ht="34.5" customHeight="1" x14ac:dyDescent="0.25">
      <c r="A3" s="6"/>
      <c r="B3" s="9" t="s">
        <v>6</v>
      </c>
      <c r="C3" s="9" t="s">
        <v>7</v>
      </c>
      <c r="D3" s="45" t="s">
        <v>8</v>
      </c>
      <c r="E3" s="46" t="s">
        <v>9</v>
      </c>
      <c r="F3" s="46" t="s">
        <v>10</v>
      </c>
      <c r="G3" s="46" t="s">
        <v>11</v>
      </c>
      <c r="H3" s="46" t="s">
        <v>12</v>
      </c>
      <c r="I3" s="46" t="s">
        <v>13</v>
      </c>
      <c r="J3" s="46" t="s">
        <v>14</v>
      </c>
      <c r="K3" s="46" t="s">
        <v>15</v>
      </c>
      <c r="L3" s="46" t="s">
        <v>16</v>
      </c>
      <c r="M3" s="46" t="s">
        <v>17</v>
      </c>
      <c r="N3" s="46" t="s">
        <v>18</v>
      </c>
      <c r="O3" s="46" t="s">
        <v>19</v>
      </c>
      <c r="P3" s="46" t="s">
        <v>20</v>
      </c>
      <c r="Q3" s="46" t="s">
        <v>21</v>
      </c>
      <c r="R3" s="46" t="s">
        <v>22</v>
      </c>
      <c r="S3" s="46" t="s">
        <v>23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s="8" customFormat="1" ht="30" customHeight="1" x14ac:dyDescent="0.3">
      <c r="A4" s="6"/>
      <c r="B4" s="10" t="s">
        <v>24</v>
      </c>
      <c r="C4" s="10" t="s">
        <v>25</v>
      </c>
      <c r="D4" s="47"/>
      <c r="E4" s="48"/>
      <c r="F4" s="48"/>
      <c r="G4" s="48"/>
      <c r="H4" s="49"/>
      <c r="I4" s="49"/>
      <c r="J4" s="49"/>
      <c r="K4" s="49"/>
      <c r="L4" s="49"/>
      <c r="M4" s="49"/>
      <c r="N4" s="49"/>
      <c r="O4" s="49"/>
      <c r="P4" s="50"/>
      <c r="Q4" s="50"/>
      <c r="R4" s="51"/>
      <c r="S4" s="50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s="8" customFormat="1" ht="30" customHeight="1" x14ac:dyDescent="0.3">
      <c r="A5" s="6"/>
      <c r="B5" s="11" t="s">
        <v>26</v>
      </c>
      <c r="C5" s="12" t="s">
        <v>27</v>
      </c>
      <c r="D5" s="52" t="s">
        <v>28</v>
      </c>
      <c r="E5" s="53">
        <v>46055</v>
      </c>
      <c r="F5" s="53"/>
      <c r="G5" s="53">
        <v>46205</v>
      </c>
      <c r="H5" s="54">
        <v>8</v>
      </c>
      <c r="I5" s="55">
        <v>15625</v>
      </c>
      <c r="J5" s="56">
        <f t="shared" ref="J5:J11" si="0">H5*I5</f>
        <v>125000</v>
      </c>
      <c r="K5" s="54">
        <v>0</v>
      </c>
      <c r="L5" s="55">
        <v>45000</v>
      </c>
      <c r="M5" s="56">
        <f t="shared" ref="M5:M11" si="1">K5*L5</f>
        <v>0</v>
      </c>
      <c r="N5" s="57"/>
      <c r="O5" s="57"/>
      <c r="P5" s="55">
        <v>0</v>
      </c>
      <c r="Q5" s="58">
        <f t="shared" ref="Q5:Q11" si="2">J5+M5+N5+O5+P5</f>
        <v>125000</v>
      </c>
      <c r="R5" s="59">
        <v>125000</v>
      </c>
      <c r="S5" s="60">
        <f t="shared" ref="S5:S12" si="3">R5-Q5</f>
        <v>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s="8" customFormat="1" ht="30" customHeight="1" x14ac:dyDescent="0.3">
      <c r="A6" s="6"/>
      <c r="B6" s="11" t="s">
        <v>29</v>
      </c>
      <c r="C6" s="12" t="s">
        <v>30</v>
      </c>
      <c r="D6" s="52" t="s">
        <v>28</v>
      </c>
      <c r="E6" s="53">
        <v>46205</v>
      </c>
      <c r="F6" s="53"/>
      <c r="G6" s="53" t="s">
        <v>31</v>
      </c>
      <c r="H6" s="54">
        <v>80</v>
      </c>
      <c r="I6" s="55">
        <v>21875</v>
      </c>
      <c r="J6" s="56">
        <f t="shared" si="0"/>
        <v>1750000</v>
      </c>
      <c r="K6" s="54">
        <v>1</v>
      </c>
      <c r="L6" s="55">
        <v>200000</v>
      </c>
      <c r="M6" s="56">
        <f t="shared" si="1"/>
        <v>200000</v>
      </c>
      <c r="N6" s="57"/>
      <c r="O6" s="57"/>
      <c r="P6" s="55">
        <v>0</v>
      </c>
      <c r="Q6" s="58">
        <f t="shared" si="2"/>
        <v>1950000</v>
      </c>
      <c r="R6" s="59">
        <v>2184000</v>
      </c>
      <c r="S6" s="61">
        <f t="shared" si="3"/>
        <v>234000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s="8" customFormat="1" ht="30" customHeight="1" x14ac:dyDescent="0.3">
      <c r="A7" s="6"/>
      <c r="B7" s="11" t="s">
        <v>32</v>
      </c>
      <c r="C7" s="12" t="s">
        <v>33</v>
      </c>
      <c r="D7" s="52" t="s">
        <v>28</v>
      </c>
      <c r="E7" s="53" t="s">
        <v>35</v>
      </c>
      <c r="F7" s="53"/>
      <c r="G7" s="53" t="s">
        <v>36</v>
      </c>
      <c r="H7" s="54">
        <v>50</v>
      </c>
      <c r="I7" s="55">
        <v>25000</v>
      </c>
      <c r="J7" s="56">
        <f t="shared" si="0"/>
        <v>1250000</v>
      </c>
      <c r="K7" s="54">
        <v>0</v>
      </c>
      <c r="L7" s="55">
        <v>0</v>
      </c>
      <c r="M7" s="56">
        <f t="shared" si="1"/>
        <v>0</v>
      </c>
      <c r="N7" s="57"/>
      <c r="O7" s="57"/>
      <c r="P7" s="55">
        <v>0</v>
      </c>
      <c r="Q7" s="58">
        <f t="shared" si="2"/>
        <v>1250000</v>
      </c>
      <c r="R7" s="59">
        <v>1150000</v>
      </c>
      <c r="S7" s="61">
        <f t="shared" si="3"/>
        <v>-100000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s="8" customFormat="1" ht="30" customHeight="1" x14ac:dyDescent="0.3">
      <c r="A8" s="6"/>
      <c r="B8" s="11" t="s">
        <v>37</v>
      </c>
      <c r="C8" s="12" t="s">
        <v>38</v>
      </c>
      <c r="D8" s="52" t="s">
        <v>28</v>
      </c>
      <c r="E8" s="53" t="s">
        <v>36</v>
      </c>
      <c r="F8" s="53"/>
      <c r="G8" s="53">
        <v>46084</v>
      </c>
      <c r="H8" s="54">
        <v>6</v>
      </c>
      <c r="I8" s="55">
        <v>15625</v>
      </c>
      <c r="J8" s="56">
        <f t="shared" si="0"/>
        <v>93750</v>
      </c>
      <c r="K8" s="54">
        <v>1</v>
      </c>
      <c r="L8" s="55">
        <v>350000</v>
      </c>
      <c r="M8" s="56">
        <f t="shared" si="1"/>
        <v>350000</v>
      </c>
      <c r="N8" s="57"/>
      <c r="O8" s="57"/>
      <c r="P8" s="55">
        <v>50000</v>
      </c>
      <c r="Q8" s="58">
        <f t="shared" si="2"/>
        <v>493750</v>
      </c>
      <c r="R8" s="59">
        <v>582600</v>
      </c>
      <c r="S8" s="61">
        <f t="shared" si="3"/>
        <v>88850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s="8" customFormat="1" ht="30" customHeight="1" x14ac:dyDescent="0.3">
      <c r="A9" s="6"/>
      <c r="B9" s="11" t="s">
        <v>39</v>
      </c>
      <c r="C9" s="12" t="s">
        <v>40</v>
      </c>
      <c r="D9" s="52" t="s">
        <v>28</v>
      </c>
      <c r="E9" s="53">
        <v>46084</v>
      </c>
      <c r="F9" s="53"/>
      <c r="G9" s="53">
        <v>46206</v>
      </c>
      <c r="H9" s="54">
        <v>0</v>
      </c>
      <c r="I9" s="55">
        <v>0</v>
      </c>
      <c r="J9" s="56">
        <f t="shared" si="0"/>
        <v>0</v>
      </c>
      <c r="K9" s="54">
        <v>5</v>
      </c>
      <c r="L9" s="55">
        <v>2800000</v>
      </c>
      <c r="M9" s="56">
        <f t="shared" si="1"/>
        <v>14000000</v>
      </c>
      <c r="N9" s="57"/>
      <c r="O9" s="57"/>
      <c r="P9" s="55">
        <v>0</v>
      </c>
      <c r="Q9" s="58">
        <f t="shared" si="2"/>
        <v>14000000</v>
      </c>
      <c r="R9" s="59">
        <v>14000000</v>
      </c>
      <c r="S9" s="61">
        <f t="shared" si="3"/>
        <v>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s="8" customFormat="1" ht="30" customHeight="1" x14ac:dyDescent="0.3">
      <c r="A10" s="6"/>
      <c r="B10" s="11" t="s">
        <v>41</v>
      </c>
      <c r="C10" s="12" t="s">
        <v>42</v>
      </c>
      <c r="D10" s="52" t="s">
        <v>28</v>
      </c>
      <c r="E10" s="53">
        <v>46937</v>
      </c>
      <c r="F10" s="53"/>
      <c r="G10" s="53" t="s">
        <v>44</v>
      </c>
      <c r="H10" s="54">
        <v>60</v>
      </c>
      <c r="I10" s="55">
        <v>21875</v>
      </c>
      <c r="J10" s="56">
        <f t="shared" si="0"/>
        <v>1312500</v>
      </c>
      <c r="K10" s="54">
        <v>0</v>
      </c>
      <c r="L10" s="55">
        <v>0</v>
      </c>
      <c r="M10" s="56">
        <f t="shared" si="1"/>
        <v>0</v>
      </c>
      <c r="N10" s="57"/>
      <c r="O10" s="57"/>
      <c r="P10" s="55">
        <v>0</v>
      </c>
      <c r="Q10" s="58">
        <f t="shared" si="2"/>
        <v>1312500</v>
      </c>
      <c r="R10" s="59">
        <v>1155000</v>
      </c>
      <c r="S10" s="61">
        <f t="shared" si="3"/>
        <v>-157500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 s="8" customFormat="1" ht="30" customHeight="1" x14ac:dyDescent="0.3">
      <c r="A11" s="6"/>
      <c r="B11" s="11" t="s">
        <v>45</v>
      </c>
      <c r="C11" s="12" t="s">
        <v>46</v>
      </c>
      <c r="D11" s="52" t="s">
        <v>28</v>
      </c>
      <c r="E11" s="53" t="s">
        <v>44</v>
      </c>
      <c r="F11" s="53"/>
      <c r="G11" s="53" t="s">
        <v>48</v>
      </c>
      <c r="H11" s="54">
        <v>24</v>
      </c>
      <c r="I11" s="55">
        <v>15625</v>
      </c>
      <c r="J11" s="56">
        <f t="shared" si="0"/>
        <v>375000</v>
      </c>
      <c r="K11" s="54">
        <v>0</v>
      </c>
      <c r="L11" s="55">
        <v>0</v>
      </c>
      <c r="M11" s="56">
        <f t="shared" si="1"/>
        <v>0</v>
      </c>
      <c r="N11" s="57"/>
      <c r="O11" s="57"/>
      <c r="P11" s="55">
        <v>0</v>
      </c>
      <c r="Q11" s="58">
        <f t="shared" si="2"/>
        <v>375000</v>
      </c>
      <c r="R11" s="59">
        <v>393800</v>
      </c>
      <c r="S11" s="61">
        <f t="shared" si="3"/>
        <v>18800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s="8" customFormat="1" ht="30" customHeight="1" x14ac:dyDescent="0.25">
      <c r="A12" s="6"/>
      <c r="B12" s="13" t="s">
        <v>49</v>
      </c>
      <c r="C12" s="13"/>
      <c r="D12" s="62"/>
      <c r="E12" s="63"/>
      <c r="F12" s="63"/>
      <c r="G12" s="63"/>
      <c r="H12" s="64"/>
      <c r="I12" s="65"/>
      <c r="J12" s="66">
        <f>SUM(J5:J11)</f>
        <v>4906250</v>
      </c>
      <c r="K12" s="66"/>
      <c r="L12" s="66"/>
      <c r="M12" s="66">
        <f t="shared" ref="M12:R12" si="4">SUM(M5:M11)</f>
        <v>14550000</v>
      </c>
      <c r="N12" s="66">
        <f t="shared" si="4"/>
        <v>0</v>
      </c>
      <c r="O12" s="66">
        <f t="shared" si="4"/>
        <v>0</v>
      </c>
      <c r="P12" s="66">
        <f t="shared" si="4"/>
        <v>50000</v>
      </c>
      <c r="Q12" s="67">
        <f t="shared" si="4"/>
        <v>19506250</v>
      </c>
      <c r="R12" s="68">
        <f t="shared" si="4"/>
        <v>19590400</v>
      </c>
      <c r="S12" s="69">
        <f t="shared" si="3"/>
        <v>84150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s="8" customFormat="1" ht="10.5" customHeight="1" x14ac:dyDescent="0.25">
      <c r="A13" s="6"/>
      <c r="B13" s="14"/>
      <c r="C13" s="14"/>
      <c r="D13" s="70"/>
      <c r="E13" s="70"/>
      <c r="F13" s="70"/>
      <c r="G13" s="70"/>
      <c r="H13" s="71"/>
      <c r="I13" s="72"/>
      <c r="J13" s="72"/>
      <c r="K13" s="71"/>
      <c r="L13" s="72"/>
      <c r="M13" s="72"/>
      <c r="N13" s="71"/>
      <c r="O13" s="71"/>
      <c r="P13" s="72"/>
      <c r="Q13" s="73"/>
      <c r="R13" s="72"/>
      <c r="S13" s="74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s="8" customFormat="1" ht="34.5" customHeight="1" x14ac:dyDescent="0.25">
      <c r="A14" s="6"/>
      <c r="B14" s="7" t="s">
        <v>1</v>
      </c>
      <c r="C14" s="7"/>
      <c r="D14" s="39"/>
      <c r="E14" s="39"/>
      <c r="F14" s="39"/>
      <c r="G14" s="40"/>
      <c r="H14" s="41" t="s">
        <v>2</v>
      </c>
      <c r="I14" s="41"/>
      <c r="J14" s="41"/>
      <c r="K14" s="42" t="s">
        <v>3</v>
      </c>
      <c r="L14" s="42"/>
      <c r="M14" s="42"/>
      <c r="N14" s="43" t="s">
        <v>4</v>
      </c>
      <c r="O14" s="43"/>
      <c r="P14" s="43"/>
      <c r="Q14" s="44" t="s">
        <v>5</v>
      </c>
      <c r="R14" s="44"/>
      <c r="S14" s="44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s="8" customFormat="1" ht="34.5" customHeight="1" x14ac:dyDescent="0.25">
      <c r="A15" s="6"/>
      <c r="B15" s="9" t="s">
        <v>6</v>
      </c>
      <c r="C15" s="9" t="s">
        <v>7</v>
      </c>
      <c r="D15" s="45" t="s">
        <v>8</v>
      </c>
      <c r="E15" s="46" t="s">
        <v>9</v>
      </c>
      <c r="F15" s="46" t="s">
        <v>10</v>
      </c>
      <c r="G15" s="46" t="s">
        <v>11</v>
      </c>
      <c r="H15" s="46" t="s">
        <v>12</v>
      </c>
      <c r="I15" s="46" t="s">
        <v>13</v>
      </c>
      <c r="J15" s="46" t="s">
        <v>14</v>
      </c>
      <c r="K15" s="46" t="s">
        <v>15</v>
      </c>
      <c r="L15" s="46" t="s">
        <v>16</v>
      </c>
      <c r="M15" s="46" t="s">
        <v>17</v>
      </c>
      <c r="N15" s="46" t="s">
        <v>18</v>
      </c>
      <c r="O15" s="46" t="s">
        <v>19</v>
      </c>
      <c r="P15" s="46" t="s">
        <v>20</v>
      </c>
      <c r="Q15" s="46" t="s">
        <v>21</v>
      </c>
      <c r="R15" s="46" t="s">
        <v>22</v>
      </c>
      <c r="S15" s="46" t="s">
        <v>23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s="8" customFormat="1" ht="30" customHeight="1" x14ac:dyDescent="0.25">
      <c r="A16" s="6"/>
      <c r="B16" s="10" t="s">
        <v>50</v>
      </c>
      <c r="C16" s="10"/>
      <c r="D16" s="47"/>
      <c r="E16" s="48"/>
      <c r="F16" s="48"/>
      <c r="G16" s="48"/>
      <c r="H16" s="49"/>
      <c r="I16" s="49"/>
      <c r="J16" s="49"/>
      <c r="K16" s="49"/>
      <c r="L16" s="49"/>
      <c r="M16" s="49"/>
      <c r="N16" s="49"/>
      <c r="O16" s="49"/>
      <c r="P16" s="50"/>
      <c r="Q16" s="50"/>
      <c r="R16" s="50"/>
      <c r="S16" s="50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s="8" customFormat="1" ht="30" customHeight="1" x14ac:dyDescent="0.25">
      <c r="A17" s="6"/>
      <c r="B17" s="11" t="s">
        <v>51</v>
      </c>
      <c r="C17" s="12" t="s">
        <v>52</v>
      </c>
      <c r="D17" s="52" t="s">
        <v>28</v>
      </c>
      <c r="E17" s="53" t="s">
        <v>53</v>
      </c>
      <c r="F17" s="53"/>
      <c r="G17" s="53" t="s">
        <v>54</v>
      </c>
      <c r="H17" s="54">
        <v>60</v>
      </c>
      <c r="I17" s="55">
        <v>31250</v>
      </c>
      <c r="J17" s="56">
        <f t="shared" ref="J17:J23" si="5">H17*I17</f>
        <v>1875000</v>
      </c>
      <c r="K17" s="75">
        <v>1</v>
      </c>
      <c r="L17" s="55">
        <v>250000</v>
      </c>
      <c r="M17" s="56">
        <f t="shared" ref="M17:M23" si="6">K17*L17</f>
        <v>250000</v>
      </c>
      <c r="N17" s="55">
        <v>0</v>
      </c>
      <c r="O17" s="57"/>
      <c r="P17" s="55">
        <v>0</v>
      </c>
      <c r="Q17" s="76">
        <f t="shared" ref="Q17:Q23" si="7">J17+M17+N17+O17+P17</f>
        <v>2125000</v>
      </c>
      <c r="R17" s="59">
        <v>2018800</v>
      </c>
      <c r="S17" s="61">
        <f t="shared" ref="S17:S24" si="8">R17-Q17</f>
        <v>-106200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s="8" customFormat="1" ht="30" customHeight="1" x14ac:dyDescent="0.25">
      <c r="A18" s="6"/>
      <c r="B18" s="11" t="s">
        <v>55</v>
      </c>
      <c r="C18" s="12" t="s">
        <v>56</v>
      </c>
      <c r="D18" s="52" t="s">
        <v>28</v>
      </c>
      <c r="E18" s="53" t="s">
        <v>54</v>
      </c>
      <c r="F18" s="53"/>
      <c r="G18" s="53">
        <v>46115</v>
      </c>
      <c r="H18" s="54">
        <v>120</v>
      </c>
      <c r="I18" s="55">
        <v>31250</v>
      </c>
      <c r="J18" s="56">
        <f t="shared" si="5"/>
        <v>3750000</v>
      </c>
      <c r="K18" s="75">
        <v>1</v>
      </c>
      <c r="L18" s="55">
        <v>0</v>
      </c>
      <c r="M18" s="56">
        <f t="shared" si="6"/>
        <v>0</v>
      </c>
      <c r="N18" s="55">
        <v>0</v>
      </c>
      <c r="O18" s="57"/>
      <c r="P18" s="55">
        <v>0</v>
      </c>
      <c r="Q18" s="76">
        <f t="shared" si="7"/>
        <v>3750000</v>
      </c>
      <c r="R18" s="59">
        <v>4575000</v>
      </c>
      <c r="S18" s="61">
        <f t="shared" si="8"/>
        <v>825000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s="8" customFormat="1" ht="30" customHeight="1" x14ac:dyDescent="0.25">
      <c r="A19" s="6"/>
      <c r="B19" s="11" t="s">
        <v>57</v>
      </c>
      <c r="C19" s="12" t="s">
        <v>58</v>
      </c>
      <c r="D19" s="52" t="s">
        <v>28</v>
      </c>
      <c r="E19" s="53">
        <v>46115</v>
      </c>
      <c r="F19" s="53"/>
      <c r="G19" s="53">
        <v>46360</v>
      </c>
      <c r="H19" s="54">
        <v>100</v>
      </c>
      <c r="I19" s="55">
        <v>25000</v>
      </c>
      <c r="J19" s="56">
        <f t="shared" si="5"/>
        <v>2500000</v>
      </c>
      <c r="K19" s="75">
        <v>1</v>
      </c>
      <c r="L19" s="55">
        <v>0</v>
      </c>
      <c r="M19" s="56">
        <f t="shared" si="6"/>
        <v>0</v>
      </c>
      <c r="N19" s="55">
        <v>0</v>
      </c>
      <c r="O19" s="57"/>
      <c r="P19" s="55">
        <v>0</v>
      </c>
      <c r="Q19" s="76">
        <f t="shared" si="7"/>
        <v>2500000</v>
      </c>
      <c r="R19" s="59">
        <v>2700000</v>
      </c>
      <c r="S19" s="61">
        <f t="shared" si="8"/>
        <v>200000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s="8" customFormat="1" ht="30" customHeight="1" x14ac:dyDescent="0.25">
      <c r="A20" s="6"/>
      <c r="B20" s="11" t="s">
        <v>59</v>
      </c>
      <c r="C20" s="12" t="s">
        <v>60</v>
      </c>
      <c r="D20" s="52" t="s">
        <v>28</v>
      </c>
      <c r="E20" s="53">
        <v>46360</v>
      </c>
      <c r="F20" s="53"/>
      <c r="G20" s="53" t="s">
        <v>61</v>
      </c>
      <c r="H20" s="54">
        <v>50</v>
      </c>
      <c r="I20" s="55">
        <v>17500</v>
      </c>
      <c r="J20" s="56">
        <f t="shared" si="5"/>
        <v>875000</v>
      </c>
      <c r="K20" s="75">
        <v>1</v>
      </c>
      <c r="L20" s="55">
        <v>0</v>
      </c>
      <c r="M20" s="56">
        <f t="shared" si="6"/>
        <v>0</v>
      </c>
      <c r="N20" s="55">
        <v>3000000</v>
      </c>
      <c r="O20" s="57"/>
      <c r="P20" s="55">
        <v>300000</v>
      </c>
      <c r="Q20" s="76">
        <f t="shared" si="7"/>
        <v>4175000</v>
      </c>
      <c r="R20" s="59">
        <v>3548800</v>
      </c>
      <c r="S20" s="61">
        <f t="shared" si="8"/>
        <v>-626200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s="8" customFormat="1" ht="30" customHeight="1" x14ac:dyDescent="0.25">
      <c r="A21" s="6"/>
      <c r="B21" s="11" t="s">
        <v>62</v>
      </c>
      <c r="C21" s="12" t="s">
        <v>63</v>
      </c>
      <c r="D21" s="52" t="s">
        <v>28</v>
      </c>
      <c r="E21" s="53" t="s">
        <v>61</v>
      </c>
      <c r="F21" s="53"/>
      <c r="G21" s="53" t="s">
        <v>64</v>
      </c>
      <c r="H21" s="54">
        <v>60</v>
      </c>
      <c r="I21" s="55">
        <v>40625</v>
      </c>
      <c r="J21" s="56">
        <f t="shared" si="5"/>
        <v>2437500</v>
      </c>
      <c r="K21" s="75">
        <v>1</v>
      </c>
      <c r="L21" s="55">
        <v>300000</v>
      </c>
      <c r="M21" s="56">
        <f t="shared" si="6"/>
        <v>300000</v>
      </c>
      <c r="N21" s="55">
        <v>0</v>
      </c>
      <c r="O21" s="57"/>
      <c r="P21" s="55">
        <v>0</v>
      </c>
      <c r="Q21" s="76">
        <f t="shared" si="7"/>
        <v>2737500</v>
      </c>
      <c r="R21" s="59">
        <v>3148100</v>
      </c>
      <c r="S21" s="61">
        <f t="shared" si="8"/>
        <v>410600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s="8" customFormat="1" ht="30" customHeight="1" x14ac:dyDescent="0.25">
      <c r="A22" s="6"/>
      <c r="B22" s="11" t="s">
        <v>65</v>
      </c>
      <c r="C22" s="12" t="s">
        <v>66</v>
      </c>
      <c r="D22" s="52" t="s">
        <v>28</v>
      </c>
      <c r="E22" s="53" t="s">
        <v>64</v>
      </c>
      <c r="F22" s="53"/>
      <c r="G22" s="53">
        <v>46147</v>
      </c>
      <c r="H22" s="54">
        <v>60</v>
      </c>
      <c r="I22" s="55">
        <v>18750</v>
      </c>
      <c r="J22" s="56">
        <f t="shared" si="5"/>
        <v>1125000</v>
      </c>
      <c r="K22" s="75">
        <v>0</v>
      </c>
      <c r="L22" s="55">
        <v>0</v>
      </c>
      <c r="M22" s="56">
        <f t="shared" si="6"/>
        <v>0</v>
      </c>
      <c r="N22" s="55">
        <v>0</v>
      </c>
      <c r="O22" s="57"/>
      <c r="P22" s="55">
        <v>0</v>
      </c>
      <c r="Q22" s="76">
        <f t="shared" si="7"/>
        <v>1125000</v>
      </c>
      <c r="R22" s="59">
        <v>1012500</v>
      </c>
      <c r="S22" s="61">
        <f t="shared" si="8"/>
        <v>-112500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s="8" customFormat="1" ht="30" customHeight="1" x14ac:dyDescent="0.25">
      <c r="A23" s="6"/>
      <c r="B23" s="11" t="s">
        <v>67</v>
      </c>
      <c r="C23" s="12" t="s">
        <v>68</v>
      </c>
      <c r="D23" s="52" t="s">
        <v>28</v>
      </c>
      <c r="E23" s="53"/>
      <c r="F23" s="53"/>
      <c r="G23" s="53"/>
      <c r="H23" s="54">
        <v>30</v>
      </c>
      <c r="I23" s="55">
        <v>40625</v>
      </c>
      <c r="J23" s="56">
        <f t="shared" si="5"/>
        <v>1218750</v>
      </c>
      <c r="K23" s="75">
        <v>1</v>
      </c>
      <c r="L23" s="55">
        <v>100000</v>
      </c>
      <c r="M23" s="56">
        <f t="shared" si="6"/>
        <v>100000</v>
      </c>
      <c r="N23" s="55">
        <v>0</v>
      </c>
      <c r="O23" s="57"/>
      <c r="P23" s="55">
        <v>150000</v>
      </c>
      <c r="Q23" s="76">
        <f t="shared" si="7"/>
        <v>1468750</v>
      </c>
      <c r="R23" s="59">
        <v>1615600</v>
      </c>
      <c r="S23" s="77">
        <f t="shared" si="8"/>
        <v>146850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s="8" customFormat="1" ht="30" customHeight="1" x14ac:dyDescent="0.25">
      <c r="A24" s="15"/>
      <c r="B24" s="13" t="s">
        <v>49</v>
      </c>
      <c r="C24" s="13"/>
      <c r="D24" s="62"/>
      <c r="E24" s="63"/>
      <c r="F24" s="63"/>
      <c r="G24" s="63"/>
      <c r="H24" s="64"/>
      <c r="I24" s="65"/>
      <c r="J24" s="66">
        <f>SUM(J17:J23)</f>
        <v>13781250</v>
      </c>
      <c r="K24" s="66"/>
      <c r="L24" s="66"/>
      <c r="M24" s="66">
        <f t="shared" ref="M24:R24" si="9">SUM(M17:M23)</f>
        <v>650000</v>
      </c>
      <c r="N24" s="66">
        <f t="shared" si="9"/>
        <v>3000000</v>
      </c>
      <c r="O24" s="66">
        <f t="shared" si="9"/>
        <v>0</v>
      </c>
      <c r="P24" s="66">
        <f t="shared" si="9"/>
        <v>450000</v>
      </c>
      <c r="Q24" s="67">
        <f t="shared" si="9"/>
        <v>17881250</v>
      </c>
      <c r="R24" s="68">
        <f t="shared" si="9"/>
        <v>18618800</v>
      </c>
      <c r="S24" s="69">
        <f t="shared" si="8"/>
        <v>737550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s="2" customFormat="1" ht="21" customHeight="1" x14ac:dyDescent="0.25">
      <c r="B25" s="16"/>
      <c r="C25" s="16"/>
      <c r="D25" s="78"/>
      <c r="E25" s="78"/>
      <c r="F25" s="78"/>
      <c r="G25" s="78"/>
      <c r="H25" s="79"/>
      <c r="I25" s="80"/>
      <c r="J25" s="80"/>
      <c r="K25" s="79"/>
      <c r="L25" s="80"/>
      <c r="M25" s="80"/>
      <c r="N25" s="79"/>
      <c r="O25" s="79"/>
      <c r="P25" s="80"/>
      <c r="Q25" s="81"/>
      <c r="R25" s="80"/>
      <c r="S25" s="82"/>
    </row>
    <row r="26" spans="1:41" ht="34.5" customHeight="1" x14ac:dyDescent="0.3">
      <c r="A26" s="6"/>
      <c r="B26" s="7" t="s">
        <v>1</v>
      </c>
      <c r="C26" s="7"/>
      <c r="D26" s="39"/>
      <c r="E26" s="39"/>
      <c r="F26" s="39"/>
      <c r="G26" s="40"/>
      <c r="H26" s="83" t="s">
        <v>2</v>
      </c>
      <c r="I26" s="84"/>
      <c r="J26" s="85"/>
      <c r="K26" s="86" t="s">
        <v>3</v>
      </c>
      <c r="L26" s="84"/>
      <c r="M26" s="85"/>
      <c r="N26" s="87" t="s">
        <v>4</v>
      </c>
      <c r="O26" s="84"/>
      <c r="P26" s="88"/>
      <c r="Q26" s="89" t="s">
        <v>5</v>
      </c>
      <c r="R26" s="84"/>
      <c r="S26" s="9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34.5" customHeight="1" x14ac:dyDescent="0.25">
      <c r="A27" s="6"/>
      <c r="B27" s="9" t="s">
        <v>6</v>
      </c>
      <c r="C27" s="9" t="s">
        <v>7</v>
      </c>
      <c r="D27" s="45" t="s">
        <v>8</v>
      </c>
      <c r="E27" s="46" t="s">
        <v>9</v>
      </c>
      <c r="F27" s="46" t="s">
        <v>10</v>
      </c>
      <c r="G27" s="46" t="s">
        <v>11</v>
      </c>
      <c r="H27" s="46" t="s">
        <v>12</v>
      </c>
      <c r="I27" s="46" t="s">
        <v>13</v>
      </c>
      <c r="J27" s="46" t="s">
        <v>14</v>
      </c>
      <c r="K27" s="46" t="s">
        <v>15</v>
      </c>
      <c r="L27" s="46" t="s">
        <v>16</v>
      </c>
      <c r="M27" s="46" t="s">
        <v>17</v>
      </c>
      <c r="N27" s="46" t="s">
        <v>18</v>
      </c>
      <c r="O27" s="46" t="s">
        <v>19</v>
      </c>
      <c r="P27" s="46" t="s">
        <v>20</v>
      </c>
      <c r="Q27" s="46" t="s">
        <v>21</v>
      </c>
      <c r="R27" s="46" t="s">
        <v>22</v>
      </c>
      <c r="S27" s="46" t="s">
        <v>23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30" customHeight="1" x14ac:dyDescent="0.3">
      <c r="A28" s="6"/>
      <c r="B28" s="10" t="s">
        <v>69</v>
      </c>
      <c r="C28" s="10" t="s">
        <v>70</v>
      </c>
      <c r="D28" s="47"/>
      <c r="E28" s="48"/>
      <c r="F28" s="48"/>
      <c r="G28" s="48"/>
      <c r="H28" s="49"/>
      <c r="I28" s="49"/>
      <c r="J28" s="49"/>
      <c r="K28" s="49"/>
      <c r="L28" s="49"/>
      <c r="M28" s="49"/>
      <c r="N28" s="49"/>
      <c r="O28" s="49"/>
      <c r="P28" s="50"/>
      <c r="Q28" s="50"/>
      <c r="R28" s="51"/>
      <c r="S28" s="5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30" customHeight="1" x14ac:dyDescent="0.3">
      <c r="A29" s="6"/>
      <c r="B29" s="17" t="s">
        <v>71</v>
      </c>
      <c r="C29" s="12" t="s">
        <v>72</v>
      </c>
      <c r="D29" s="52" t="s">
        <v>28</v>
      </c>
      <c r="E29" s="91">
        <v>46089</v>
      </c>
      <c r="F29" s="92"/>
      <c r="G29" s="91">
        <v>46096</v>
      </c>
      <c r="H29" s="54">
        <v>40</v>
      </c>
      <c r="I29" s="55">
        <v>21875</v>
      </c>
      <c r="J29" s="93">
        <f>H29*I29</f>
        <v>875000</v>
      </c>
      <c r="K29" s="54">
        <v>0</v>
      </c>
      <c r="L29" s="55">
        <v>0</v>
      </c>
      <c r="M29" s="93">
        <f>K29*L29</f>
        <v>0</v>
      </c>
      <c r="N29" s="94"/>
      <c r="O29" s="94"/>
      <c r="P29" s="55"/>
      <c r="Q29" s="58">
        <f>J29+M29+N29+O29+P29</f>
        <v>875000</v>
      </c>
      <c r="R29" s="95">
        <v>813800</v>
      </c>
      <c r="S29" s="61">
        <f t="shared" ref="S29:S34" si="10">R29-Q29</f>
        <v>-61200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30" customHeight="1" x14ac:dyDescent="0.3">
      <c r="A30" s="6"/>
      <c r="B30" s="17" t="s">
        <v>74</v>
      </c>
      <c r="C30" s="12" t="s">
        <v>75</v>
      </c>
      <c r="D30" s="52" t="s">
        <v>28</v>
      </c>
      <c r="E30" s="91">
        <v>46093</v>
      </c>
      <c r="F30" s="92"/>
      <c r="G30" s="91">
        <v>46096</v>
      </c>
      <c r="H30" s="54">
        <v>24</v>
      </c>
      <c r="I30" s="55">
        <v>21875</v>
      </c>
      <c r="J30" s="93">
        <f>H30*I30</f>
        <v>525000</v>
      </c>
      <c r="K30" s="54">
        <v>0</v>
      </c>
      <c r="L30" s="55">
        <v>0</v>
      </c>
      <c r="M30" s="93">
        <f>K30*L30</f>
        <v>0</v>
      </c>
      <c r="N30" s="94"/>
      <c r="O30" s="94"/>
      <c r="P30" s="55"/>
      <c r="Q30" s="58">
        <f>J30+M30+N30+O30+P30</f>
        <v>525000</v>
      </c>
      <c r="R30" s="95">
        <v>525000</v>
      </c>
      <c r="S30" s="61">
        <f t="shared" si="10"/>
        <v>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30" customHeight="1" x14ac:dyDescent="0.3">
      <c r="A31" s="6"/>
      <c r="B31" s="17" t="s">
        <v>76</v>
      </c>
      <c r="C31" s="12" t="s">
        <v>77</v>
      </c>
      <c r="D31" s="52" t="s">
        <v>28</v>
      </c>
      <c r="E31" s="91">
        <v>46094</v>
      </c>
      <c r="F31" s="92"/>
      <c r="G31" s="91">
        <v>46098</v>
      </c>
      <c r="H31" s="54">
        <v>40</v>
      </c>
      <c r="I31" s="55">
        <v>25000</v>
      </c>
      <c r="J31" s="93">
        <f>H31*I31</f>
        <v>1000000</v>
      </c>
      <c r="K31" s="54">
        <v>0</v>
      </c>
      <c r="L31" s="55">
        <v>0</v>
      </c>
      <c r="M31" s="93">
        <f>K31*L31</f>
        <v>0</v>
      </c>
      <c r="N31" s="94"/>
      <c r="O31" s="94"/>
      <c r="P31" s="55"/>
      <c r="Q31" s="58">
        <f>J31+M31+N31+O31+P31</f>
        <v>1000000</v>
      </c>
      <c r="R31" s="95">
        <v>870000</v>
      </c>
      <c r="S31" s="61">
        <f t="shared" si="10"/>
        <v>-130000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30" customHeight="1" x14ac:dyDescent="0.3">
      <c r="A32" s="6"/>
      <c r="B32" s="17" t="s">
        <v>78</v>
      </c>
      <c r="C32" s="12" t="s">
        <v>79</v>
      </c>
      <c r="D32" s="52" t="s">
        <v>28</v>
      </c>
      <c r="E32" s="91">
        <v>46096</v>
      </c>
      <c r="F32" s="92"/>
      <c r="G32" s="91">
        <v>46100</v>
      </c>
      <c r="H32" s="54">
        <v>32</v>
      </c>
      <c r="I32" s="55">
        <v>21875</v>
      </c>
      <c r="J32" s="93">
        <f>H32*I32</f>
        <v>700000</v>
      </c>
      <c r="K32" s="54">
        <v>0</v>
      </c>
      <c r="L32" s="55">
        <v>0</v>
      </c>
      <c r="M32" s="93">
        <f>K32*L32</f>
        <v>0</v>
      </c>
      <c r="N32" s="94"/>
      <c r="O32" s="94"/>
      <c r="P32" s="55"/>
      <c r="Q32" s="58">
        <f>J32+M32+N32+O32+P32</f>
        <v>700000</v>
      </c>
      <c r="R32" s="95">
        <v>749000</v>
      </c>
      <c r="S32" s="61">
        <f t="shared" si="10"/>
        <v>49000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30" customHeight="1" x14ac:dyDescent="0.3">
      <c r="A33" s="6"/>
      <c r="B33" s="17" t="s">
        <v>80</v>
      </c>
      <c r="C33" s="12" t="s">
        <v>81</v>
      </c>
      <c r="D33" s="52" t="s">
        <v>28</v>
      </c>
      <c r="E33" s="91">
        <v>46099</v>
      </c>
      <c r="F33" s="92"/>
      <c r="G33" s="91">
        <v>46103</v>
      </c>
      <c r="H33" s="54">
        <v>48</v>
      </c>
      <c r="I33" s="55">
        <v>25000</v>
      </c>
      <c r="J33" s="93">
        <f>H33*I33</f>
        <v>1200000</v>
      </c>
      <c r="K33" s="54">
        <v>1</v>
      </c>
      <c r="L33" s="55">
        <v>150000</v>
      </c>
      <c r="M33" s="93">
        <f>K33*L33</f>
        <v>150000</v>
      </c>
      <c r="N33" s="94"/>
      <c r="O33" s="94"/>
      <c r="P33" s="55"/>
      <c r="Q33" s="58">
        <f>J33+M33+N33+O33+P33</f>
        <v>1350000</v>
      </c>
      <c r="R33" s="95">
        <v>1620000</v>
      </c>
      <c r="S33" s="61">
        <f t="shared" si="10"/>
        <v>270000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30" customHeight="1" x14ac:dyDescent="0.25">
      <c r="A34" s="6"/>
      <c r="B34" s="18" t="s">
        <v>49</v>
      </c>
      <c r="C34" s="13"/>
      <c r="D34" s="62"/>
      <c r="E34" s="63"/>
      <c r="F34" s="63"/>
      <c r="G34" s="63"/>
      <c r="H34" s="96"/>
      <c r="I34" s="97"/>
      <c r="J34" s="98">
        <f>SUM(J29:J33)</f>
        <v>4300000</v>
      </c>
      <c r="K34" s="98"/>
      <c r="L34" s="98"/>
      <c r="M34" s="98">
        <f t="shared" ref="M34:R34" si="11">SUM(M29:M33)</f>
        <v>150000</v>
      </c>
      <c r="N34" s="98">
        <f t="shared" si="11"/>
        <v>0</v>
      </c>
      <c r="O34" s="98">
        <f t="shared" si="11"/>
        <v>0</v>
      </c>
      <c r="P34" s="98">
        <f t="shared" si="11"/>
        <v>0</v>
      </c>
      <c r="Q34" s="67">
        <f t="shared" si="11"/>
        <v>4450000</v>
      </c>
      <c r="R34" s="99">
        <f t="shared" si="11"/>
        <v>4577800</v>
      </c>
      <c r="S34" s="67">
        <f t="shared" si="10"/>
        <v>127800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0.5" customHeight="1" x14ac:dyDescent="0.25">
      <c r="A35" s="2"/>
      <c r="B35" s="2"/>
      <c r="C35" s="2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34.5" customHeight="1" x14ac:dyDescent="0.3">
      <c r="A36" s="6"/>
      <c r="B36" s="7" t="s">
        <v>1</v>
      </c>
      <c r="C36" s="7"/>
      <c r="D36" s="39"/>
      <c r="E36" s="39"/>
      <c r="F36" s="39"/>
      <c r="G36" s="40"/>
      <c r="H36" s="83" t="s">
        <v>2</v>
      </c>
      <c r="I36" s="84"/>
      <c r="J36" s="85"/>
      <c r="K36" s="86" t="s">
        <v>3</v>
      </c>
      <c r="L36" s="84"/>
      <c r="M36" s="85"/>
      <c r="N36" s="87" t="s">
        <v>4</v>
      </c>
      <c r="O36" s="84"/>
      <c r="P36" s="88"/>
      <c r="Q36" s="89" t="s">
        <v>5</v>
      </c>
      <c r="R36" s="84"/>
      <c r="S36" s="9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34.5" customHeight="1" x14ac:dyDescent="0.25">
      <c r="A37" s="6"/>
      <c r="B37" s="9" t="s">
        <v>6</v>
      </c>
      <c r="C37" s="9" t="s">
        <v>7</v>
      </c>
      <c r="D37" s="45" t="s">
        <v>8</v>
      </c>
      <c r="E37" s="46" t="s">
        <v>9</v>
      </c>
      <c r="F37" s="46" t="s">
        <v>10</v>
      </c>
      <c r="G37" s="46" t="s">
        <v>11</v>
      </c>
      <c r="H37" s="46" t="s">
        <v>12</v>
      </c>
      <c r="I37" s="46" t="s">
        <v>13</v>
      </c>
      <c r="J37" s="46" t="s">
        <v>14</v>
      </c>
      <c r="K37" s="46" t="s">
        <v>15</v>
      </c>
      <c r="L37" s="46" t="s">
        <v>16</v>
      </c>
      <c r="M37" s="46" t="s">
        <v>17</v>
      </c>
      <c r="N37" s="46" t="s">
        <v>18</v>
      </c>
      <c r="O37" s="46" t="s">
        <v>19</v>
      </c>
      <c r="P37" s="46" t="s">
        <v>20</v>
      </c>
      <c r="Q37" s="46" t="s">
        <v>21</v>
      </c>
      <c r="R37" s="46" t="s">
        <v>22</v>
      </c>
      <c r="S37" s="46" t="s">
        <v>23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30" customHeight="1" x14ac:dyDescent="0.3">
      <c r="A38" s="6"/>
      <c r="B38" s="10" t="s">
        <v>82</v>
      </c>
      <c r="C38" s="10" t="s">
        <v>83</v>
      </c>
      <c r="D38" s="47"/>
      <c r="E38" s="48"/>
      <c r="F38" s="48"/>
      <c r="G38" s="48"/>
      <c r="H38" s="49"/>
      <c r="I38" s="49"/>
      <c r="J38" s="49"/>
      <c r="K38" s="49"/>
      <c r="L38" s="49"/>
      <c r="M38" s="49"/>
      <c r="N38" s="49"/>
      <c r="O38" s="49"/>
      <c r="P38" s="50"/>
      <c r="Q38" s="50"/>
      <c r="R38" s="51"/>
      <c r="S38" s="5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30" customHeight="1" x14ac:dyDescent="0.3">
      <c r="A39" s="6"/>
      <c r="B39" s="17" t="s">
        <v>84</v>
      </c>
      <c r="C39" s="12" t="s">
        <v>85</v>
      </c>
      <c r="D39" s="52" t="s">
        <v>43</v>
      </c>
      <c r="E39" s="91">
        <v>46146</v>
      </c>
      <c r="F39" s="92"/>
      <c r="G39" s="91">
        <v>46154</v>
      </c>
      <c r="H39" s="54">
        <v>60</v>
      </c>
      <c r="I39" s="55">
        <v>18750</v>
      </c>
      <c r="J39" s="93">
        <f>H39*I39</f>
        <v>1125000</v>
      </c>
      <c r="K39" s="54">
        <v>0</v>
      </c>
      <c r="L39" s="55">
        <v>0</v>
      </c>
      <c r="M39" s="93">
        <f>K39*L39</f>
        <v>0</v>
      </c>
      <c r="N39" s="94"/>
      <c r="O39" s="94"/>
      <c r="P39" s="55"/>
      <c r="Q39" s="58">
        <f>J39+M39+N39+O39+P39</f>
        <v>1125000</v>
      </c>
      <c r="R39" s="95"/>
      <c r="S39" s="6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30" customHeight="1" x14ac:dyDescent="0.3">
      <c r="A40" s="6"/>
      <c r="B40" s="17" t="s">
        <v>86</v>
      </c>
      <c r="C40" s="12" t="s">
        <v>87</v>
      </c>
      <c r="D40" s="52" t="s">
        <v>43</v>
      </c>
      <c r="E40" s="91">
        <v>46154</v>
      </c>
      <c r="F40" s="92"/>
      <c r="G40" s="91">
        <v>46157</v>
      </c>
      <c r="H40" s="54">
        <v>24</v>
      </c>
      <c r="I40" s="55">
        <v>21875</v>
      </c>
      <c r="J40" s="93">
        <f>H40*I40</f>
        <v>525000</v>
      </c>
      <c r="K40" s="54">
        <v>0</v>
      </c>
      <c r="L40" s="55">
        <v>0</v>
      </c>
      <c r="M40" s="93">
        <f>K40*L40</f>
        <v>0</v>
      </c>
      <c r="N40" s="94">
        <v>2</v>
      </c>
      <c r="O40" s="94"/>
      <c r="P40" s="55">
        <v>100000</v>
      </c>
      <c r="Q40" s="58">
        <f>J40+M40+N40+O40+P40</f>
        <v>625002</v>
      </c>
      <c r="R40" s="95"/>
      <c r="S40" s="6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30" customHeight="1" x14ac:dyDescent="0.3">
      <c r="A41" s="6"/>
      <c r="B41" s="17" t="s">
        <v>88</v>
      </c>
      <c r="C41" s="12" t="s">
        <v>89</v>
      </c>
      <c r="D41" s="52" t="s">
        <v>43</v>
      </c>
      <c r="E41" s="91">
        <v>46157</v>
      </c>
      <c r="F41" s="92"/>
      <c r="G41" s="91">
        <v>46166</v>
      </c>
      <c r="H41" s="54">
        <v>40</v>
      </c>
      <c r="I41" s="55">
        <v>40625</v>
      </c>
      <c r="J41" s="93">
        <f>H41*I41</f>
        <v>1625000</v>
      </c>
      <c r="K41" s="54">
        <v>0</v>
      </c>
      <c r="L41" s="55">
        <v>0</v>
      </c>
      <c r="M41" s="93">
        <f>K41*L41</f>
        <v>0</v>
      </c>
      <c r="N41" s="94"/>
      <c r="O41" s="94"/>
      <c r="P41" s="55">
        <v>200000</v>
      </c>
      <c r="Q41" s="58">
        <f>J41+M41+N41+O41+P41</f>
        <v>1825000</v>
      </c>
      <c r="R41" s="95"/>
      <c r="S41" s="6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30" customHeight="1" x14ac:dyDescent="0.3">
      <c r="A42" s="6"/>
      <c r="B42" s="17" t="s">
        <v>90</v>
      </c>
      <c r="C42" s="12" t="s">
        <v>91</v>
      </c>
      <c r="D42" s="52" t="s">
        <v>43</v>
      </c>
      <c r="E42" s="91">
        <v>46166</v>
      </c>
      <c r="F42" s="92"/>
      <c r="G42" s="91">
        <v>46169</v>
      </c>
      <c r="H42" s="54">
        <v>16</v>
      </c>
      <c r="I42" s="55">
        <v>15625</v>
      </c>
      <c r="J42" s="93">
        <f>H42*I42</f>
        <v>250000</v>
      </c>
      <c r="K42" s="54">
        <v>0</v>
      </c>
      <c r="L42" s="55">
        <v>0</v>
      </c>
      <c r="M42" s="93">
        <f>K42*L42</f>
        <v>0</v>
      </c>
      <c r="N42" s="94">
        <v>1</v>
      </c>
      <c r="O42" s="94"/>
      <c r="P42" s="55"/>
      <c r="Q42" s="58">
        <f>J42+M42+N42+O42+P42</f>
        <v>250001</v>
      </c>
      <c r="R42" s="95"/>
      <c r="S42" s="6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30" customHeight="1" x14ac:dyDescent="0.3">
      <c r="A43" s="6"/>
      <c r="B43" s="17" t="s">
        <v>92</v>
      </c>
      <c r="C43" s="12" t="s">
        <v>93</v>
      </c>
      <c r="D43" s="52" t="s">
        <v>43</v>
      </c>
      <c r="E43" s="91">
        <v>46169</v>
      </c>
      <c r="F43" s="92"/>
      <c r="G43" s="91">
        <v>46171</v>
      </c>
      <c r="H43" s="54">
        <v>8</v>
      </c>
      <c r="I43" s="55">
        <v>15625</v>
      </c>
      <c r="J43" s="93">
        <f>H43*I43</f>
        <v>125000</v>
      </c>
      <c r="K43" s="54">
        <v>0</v>
      </c>
      <c r="L43" s="55">
        <v>0</v>
      </c>
      <c r="M43" s="93">
        <f>K43*L43</f>
        <v>0</v>
      </c>
      <c r="N43" s="94"/>
      <c r="O43" s="94"/>
      <c r="P43" s="55"/>
      <c r="Q43" s="58">
        <f>J43+M43+N43+O43+P43</f>
        <v>125000</v>
      </c>
      <c r="R43" s="95"/>
      <c r="S43" s="6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30" customHeight="1" x14ac:dyDescent="0.25">
      <c r="A44" s="6"/>
      <c r="B44" s="18" t="s">
        <v>49</v>
      </c>
      <c r="C44" s="13"/>
      <c r="D44" s="62"/>
      <c r="E44" s="63"/>
      <c r="F44" s="63"/>
      <c r="G44" s="63"/>
      <c r="H44" s="96"/>
      <c r="I44" s="97"/>
      <c r="J44" s="98">
        <f>SUM(J39:J43)</f>
        <v>3650000</v>
      </c>
      <c r="K44" s="98"/>
      <c r="L44" s="98"/>
      <c r="M44" s="98">
        <f t="shared" ref="M44:R44" si="12">SUM(M39:M43)</f>
        <v>0</v>
      </c>
      <c r="N44" s="98">
        <f t="shared" si="12"/>
        <v>3</v>
      </c>
      <c r="O44" s="98">
        <f t="shared" si="12"/>
        <v>0</v>
      </c>
      <c r="P44" s="98">
        <f t="shared" si="12"/>
        <v>300000</v>
      </c>
      <c r="Q44" s="67">
        <f t="shared" si="12"/>
        <v>3950003</v>
      </c>
      <c r="R44" s="99">
        <f t="shared" si="12"/>
        <v>0</v>
      </c>
      <c r="S44" s="67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0.5" customHeight="1" x14ac:dyDescent="0.25">
      <c r="A45" s="2"/>
      <c r="B45" s="2"/>
      <c r="C45" s="2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34.5" customHeight="1" x14ac:dyDescent="0.25">
      <c r="A46" s="19"/>
      <c r="B46" s="20" t="s">
        <v>94</v>
      </c>
      <c r="C46" s="20"/>
      <c r="D46" s="101"/>
      <c r="E46" s="102"/>
      <c r="F46" s="102"/>
      <c r="G46" s="102"/>
      <c r="H46" s="103"/>
      <c r="I46" s="104"/>
      <c r="J46" s="105">
        <f>J12+J24+J34+J44</f>
        <v>26637500</v>
      </c>
      <c r="K46" s="105"/>
      <c r="L46" s="105"/>
      <c r="M46" s="105">
        <f t="shared" ref="M46:R46" si="13">M12+M24+M34+M44</f>
        <v>15350000</v>
      </c>
      <c r="N46" s="105">
        <f t="shared" si="13"/>
        <v>3000003</v>
      </c>
      <c r="O46" s="105">
        <f t="shared" si="13"/>
        <v>0</v>
      </c>
      <c r="P46" s="105">
        <f t="shared" si="13"/>
        <v>800000</v>
      </c>
      <c r="Q46" s="106">
        <f t="shared" si="13"/>
        <v>45787503</v>
      </c>
      <c r="R46" s="106">
        <f t="shared" si="13"/>
        <v>42787000</v>
      </c>
      <c r="S46" s="106">
        <f>R46-Q46</f>
        <v>-3000503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3.5" customHeight="1" x14ac:dyDescent="0.25">
      <c r="A47" s="2"/>
      <c r="B47" s="2"/>
      <c r="C47" s="2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3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3.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4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41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4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4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4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4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4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4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4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</sheetData>
  <mergeCells count="8">
    <mergeCell ref="H2:J2"/>
    <mergeCell ref="K2:M2"/>
    <mergeCell ref="N2:P2"/>
    <mergeCell ref="Q2:S2"/>
    <mergeCell ref="H14:J14"/>
    <mergeCell ref="K14:M14"/>
    <mergeCell ref="N14:P14"/>
    <mergeCell ref="Q14:S14"/>
  </mergeCells>
  <conditionalFormatting sqref="D4:D11 D16:D23">
    <cfRule type="containsText" dxfId="43" priority="29" operator="containsText" text="Approved">
      <formula>NOT(ISERROR(SEARCH("Approved",D4)))</formula>
    </cfRule>
    <cfRule type="containsText" dxfId="42" priority="30" operator="containsText" text="Needs Review">
      <formula>NOT(ISERROR(SEARCH("Needs Review",D4)))</formula>
    </cfRule>
    <cfRule type="containsText" dxfId="41" priority="31" operator="containsText" text="Not Started">
      <formula>NOT(ISERROR(SEARCH("Not Started",D4)))</formula>
    </cfRule>
    <cfRule type="containsText" dxfId="40" priority="32" operator="containsText" text="On Hold">
      <formula>NOT(ISERROR(SEARCH("On Hold",D4)))</formula>
    </cfRule>
    <cfRule type="containsText" dxfId="39" priority="33" operator="containsText" text="Overdue">
      <formula>NOT(ISERROR(SEARCH("Overdue",D4)))</formula>
    </cfRule>
    <cfRule type="containsText" dxfId="38" priority="34" operator="containsText" text="Complete">
      <formula>NOT(ISERROR(SEARCH("Complete",D4)))</formula>
    </cfRule>
    <cfRule type="containsText" dxfId="37" priority="35" operator="containsText" text="In Progress">
      <formula>NOT(ISERROR(SEARCH("In Progress",D4)))</formula>
    </cfRule>
  </conditionalFormatting>
  <conditionalFormatting sqref="D5:D11 D17:D23">
    <cfRule type="cellIs" dxfId="36" priority="21" operator="equal">
      <formula>"No Iniciado"</formula>
    </cfRule>
    <cfRule type="cellIs" dxfId="35" priority="24" operator="equal">
      <formula>"Atrasado"</formula>
    </cfRule>
    <cfRule type="cellIs" dxfId="34" priority="23" operator="equal">
      <formula>"En Espera"</formula>
    </cfRule>
    <cfRule type="cellIs" dxfId="33" priority="22" operator="equal">
      <formula>"Aprobado"</formula>
    </cfRule>
    <cfRule type="cellIs" dxfId="32" priority="25" operator="equal">
      <formula>"Aprovado"</formula>
    </cfRule>
    <cfRule type="cellIs" dxfId="31" priority="26" operator="equal">
      <formula>"Requiere Revisión"</formula>
    </cfRule>
    <cfRule type="cellIs" dxfId="30" priority="27" operator="equal">
      <formula>"En Progreso"</formula>
    </cfRule>
    <cfRule type="cellIs" dxfId="29" priority="28" operator="equal">
      <formula>"Completo"</formula>
    </cfRule>
  </conditionalFormatting>
  <conditionalFormatting sqref="D29:D33">
    <cfRule type="cellIs" dxfId="28" priority="5" operator="equal">
      <formula>"No Iniciado"</formula>
    </cfRule>
    <cfRule type="cellIs" dxfId="27" priority="6" operator="equal">
      <formula>"Aprobado"</formula>
    </cfRule>
    <cfRule type="cellIs" dxfId="26" priority="7" operator="equal">
      <formula>"En Espera"</formula>
    </cfRule>
    <cfRule type="cellIs" dxfId="25" priority="8" operator="equal">
      <formula>"Atrasado"</formula>
    </cfRule>
    <cfRule type="cellIs" dxfId="24" priority="9" operator="equal">
      <formula>"Aprovado"</formula>
    </cfRule>
    <cfRule type="cellIs" dxfId="23" priority="10" operator="equal">
      <formula>"Requiere Revisión"</formula>
    </cfRule>
    <cfRule type="cellIs" dxfId="22" priority="11" operator="equal">
      <formula>"En Progreso"</formula>
    </cfRule>
    <cfRule type="cellIs" dxfId="21" priority="12" operator="equal">
      <formula>"Completo"</formula>
    </cfRule>
    <cfRule type="containsText" dxfId="20" priority="13" operator="containsText" text="Approved">
      <formula>NOT(ISERROR(SEARCH("Approved",D29)))</formula>
    </cfRule>
    <cfRule type="containsText" dxfId="19" priority="14" operator="containsText" text="Needs Review">
      <formula>NOT(ISERROR(SEARCH("Needs Review",D29)))</formula>
    </cfRule>
    <cfRule type="containsText" dxfId="18" priority="15" operator="containsText" text="Not Started">
      <formula>NOT(ISERROR(SEARCH("Not Started",D29)))</formula>
    </cfRule>
    <cfRule type="containsText" dxfId="17" priority="16" operator="containsText" text="On Hold">
      <formula>NOT(ISERROR(SEARCH("On Hold",D29)))</formula>
    </cfRule>
    <cfRule type="containsText" dxfId="16" priority="17" operator="containsText" text="Overdue">
      <formula>NOT(ISERROR(SEARCH("Overdue",D29)))</formula>
    </cfRule>
    <cfRule type="containsText" dxfId="15" priority="18" operator="containsText" text="Complete">
      <formula>NOT(ISERROR(SEARCH("Complete",D29)))</formula>
    </cfRule>
    <cfRule type="containsText" dxfId="14" priority="19" operator="containsText" text="In Progress">
      <formula>NOT(ISERROR(SEARCH("In Progress",D29)))</formula>
    </cfRule>
  </conditionalFormatting>
  <conditionalFormatting sqref="S6:S12 S17:S24">
    <cfRule type="cellIs" dxfId="13" priority="36" operator="lessThan">
      <formula>0</formula>
    </cfRule>
    <cfRule type="cellIs" dxfId="12" priority="37" operator="greaterThan">
      <formula>0</formula>
    </cfRule>
  </conditionalFormatting>
  <conditionalFormatting sqref="S1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:S33">
    <cfRule type="cellIs" dxfId="11" priority="2" operator="greaterThan">
      <formula>0</formula>
    </cfRule>
    <cfRule type="cellIs" dxfId="10" priority="1" operator="lessThan">
      <formula>0</formula>
    </cfRule>
  </conditionalFormatting>
  <pageMargins left="0.3" right="0.3" top="0.3" bottom="0.3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AF61"/>
  <sheetViews>
    <sheetView showGridLines="0" zoomScaleNormal="100" workbookViewId="0">
      <selection activeCell="I3" sqref="I3"/>
    </sheetView>
  </sheetViews>
  <sheetFormatPr defaultColWidth="11" defaultRowHeight="15.75" x14ac:dyDescent="0.25"/>
  <cols>
    <col min="1" max="1" width="3.375" style="8" customWidth="1"/>
    <col min="2" max="2" width="10.875" style="8" customWidth="1"/>
    <col min="3" max="3" width="3.375" style="8" customWidth="1"/>
    <col min="5" max="5" width="3.375" style="8" customWidth="1"/>
    <col min="6" max="6" width="12.875" customWidth="1"/>
    <col min="7" max="7" width="3.375" style="8" customWidth="1"/>
  </cols>
  <sheetData>
    <row r="1" spans="1:32" s="8" customFormat="1" ht="42" customHeight="1" x14ac:dyDescent="0.25">
      <c r="B1" s="21" t="s">
        <v>95</v>
      </c>
      <c r="C1" s="5"/>
      <c r="D1" s="5"/>
      <c r="E1" s="5"/>
      <c r="F1" s="5"/>
      <c r="G1" s="5"/>
      <c r="H1" s="5"/>
      <c r="I1" s="5"/>
      <c r="J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24.75" customHeight="1" x14ac:dyDescent="0.25">
      <c r="A2" s="6"/>
      <c r="B2" s="22" t="s">
        <v>96</v>
      </c>
      <c r="C2" s="6"/>
      <c r="D2" s="22" t="s">
        <v>97</v>
      </c>
      <c r="E2" s="6"/>
      <c r="F2" s="22" t="s">
        <v>8</v>
      </c>
      <c r="G2" s="6"/>
    </row>
    <row r="3" spans="1:32" ht="34.5" customHeight="1" x14ac:dyDescent="0.25">
      <c r="A3" s="6"/>
      <c r="B3" s="23" t="s">
        <v>98</v>
      </c>
      <c r="C3" s="6"/>
      <c r="D3" s="24" t="s">
        <v>99</v>
      </c>
      <c r="E3" s="6"/>
      <c r="F3" s="25" t="s">
        <v>43</v>
      </c>
      <c r="G3" s="6"/>
    </row>
    <row r="4" spans="1:32" ht="34.5" customHeight="1" x14ac:dyDescent="0.25">
      <c r="A4" s="6"/>
      <c r="B4" s="26" t="s">
        <v>100</v>
      </c>
      <c r="C4" s="6"/>
      <c r="D4" s="27" t="s">
        <v>101</v>
      </c>
      <c r="E4" s="6"/>
      <c r="F4" s="28" t="s">
        <v>34</v>
      </c>
      <c r="G4" s="6"/>
    </row>
    <row r="5" spans="1:32" ht="34.5" customHeight="1" x14ac:dyDescent="0.25">
      <c r="A5" s="6"/>
      <c r="C5" s="6"/>
      <c r="D5" s="29" t="s">
        <v>102</v>
      </c>
      <c r="E5" s="6"/>
      <c r="F5" s="30" t="s">
        <v>73</v>
      </c>
      <c r="G5" s="6"/>
    </row>
    <row r="6" spans="1:32" ht="34.5" customHeight="1" x14ac:dyDescent="0.3">
      <c r="A6" s="6"/>
      <c r="C6" s="6"/>
      <c r="D6" s="31"/>
      <c r="E6" s="6"/>
      <c r="F6" s="32" t="s">
        <v>47</v>
      </c>
      <c r="G6" s="6"/>
    </row>
    <row r="7" spans="1:32" ht="34.5" customHeight="1" x14ac:dyDescent="0.3">
      <c r="A7" s="6"/>
      <c r="C7" s="6"/>
      <c r="D7" s="31"/>
      <c r="E7" s="6"/>
      <c r="F7" s="33" t="s">
        <v>28</v>
      </c>
      <c r="G7" s="6"/>
    </row>
    <row r="8" spans="1:32" ht="34.5" customHeight="1" x14ac:dyDescent="0.25">
      <c r="A8" s="6"/>
      <c r="C8" s="6"/>
      <c r="E8" s="6"/>
      <c r="F8" s="34" t="s">
        <v>103</v>
      </c>
      <c r="G8" s="6"/>
    </row>
    <row r="9" spans="1:32" ht="34.5" customHeight="1" x14ac:dyDescent="0.25">
      <c r="A9" s="6"/>
      <c r="B9" s="6"/>
      <c r="C9" s="6"/>
      <c r="E9" s="6"/>
      <c r="F9" s="35" t="s">
        <v>104</v>
      </c>
      <c r="G9" s="6"/>
    </row>
    <row r="10" spans="1:32" ht="34.5" customHeight="1" x14ac:dyDescent="0.3">
      <c r="A10" s="6"/>
      <c r="B10" s="6"/>
      <c r="C10" s="6"/>
      <c r="D10" s="31"/>
      <c r="E10" s="6"/>
      <c r="F10" s="36"/>
      <c r="G10" s="6"/>
    </row>
    <row r="11" spans="1:32" ht="34.5" customHeight="1" x14ac:dyDescent="0.3">
      <c r="A11" s="6"/>
      <c r="B11" s="6"/>
      <c r="C11" s="6"/>
      <c r="D11" s="31"/>
      <c r="E11" s="6"/>
      <c r="F11" s="36"/>
      <c r="G11" s="6"/>
    </row>
    <row r="12" spans="1:32" ht="16.5" customHeight="1" x14ac:dyDescent="0.3">
      <c r="A12" s="6"/>
      <c r="B12" s="6"/>
      <c r="C12" s="6"/>
      <c r="D12" s="31"/>
      <c r="E12" s="6"/>
      <c r="F12" s="31"/>
      <c r="G12" s="6"/>
    </row>
    <row r="13" spans="1:32" ht="16.5" customHeight="1" x14ac:dyDescent="0.3">
      <c r="A13" s="6"/>
      <c r="B13" s="6"/>
      <c r="C13" s="6"/>
      <c r="D13" s="31"/>
      <c r="E13" s="6"/>
      <c r="F13" s="31"/>
      <c r="G13" s="6"/>
    </row>
    <row r="14" spans="1:32" ht="16.5" customHeight="1" x14ac:dyDescent="0.3">
      <c r="A14" s="6"/>
      <c r="B14" s="6"/>
      <c r="C14" s="6"/>
      <c r="D14" s="31"/>
      <c r="E14" s="6"/>
      <c r="F14" s="31"/>
      <c r="G14" s="6"/>
    </row>
    <row r="15" spans="1:32" ht="16.5" customHeight="1" x14ac:dyDescent="0.3">
      <c r="A15" s="6"/>
      <c r="B15" s="6"/>
      <c r="C15" s="6"/>
      <c r="D15" s="31"/>
      <c r="E15" s="6"/>
      <c r="F15" s="31"/>
      <c r="G15" s="6"/>
    </row>
    <row r="16" spans="1:32" ht="16.5" customHeight="1" x14ac:dyDescent="0.3">
      <c r="A16" s="6"/>
      <c r="B16" s="6"/>
      <c r="C16" s="6"/>
      <c r="D16" s="31"/>
      <c r="E16" s="6"/>
      <c r="F16" s="31"/>
      <c r="G16" s="6"/>
    </row>
    <row r="17" spans="1:7" ht="16.5" customHeight="1" x14ac:dyDescent="0.3">
      <c r="A17" s="6"/>
      <c r="B17" s="6"/>
      <c r="C17" s="6"/>
      <c r="D17" s="31"/>
      <c r="E17" s="6"/>
      <c r="G17" s="6"/>
    </row>
    <row r="18" spans="1:7" ht="16.5" customHeight="1" x14ac:dyDescent="0.3">
      <c r="A18" s="6"/>
      <c r="B18" s="6"/>
      <c r="C18" s="6"/>
      <c r="D18" s="31"/>
      <c r="E18" s="6"/>
      <c r="G18" s="6"/>
    </row>
    <row r="19" spans="1:7" ht="16.5" customHeight="1" x14ac:dyDescent="0.3">
      <c r="A19" s="6"/>
      <c r="B19" s="6"/>
      <c r="C19" s="6"/>
      <c r="D19" s="31"/>
      <c r="E19" s="6"/>
      <c r="G19" s="6"/>
    </row>
    <row r="20" spans="1:7" ht="16.5" customHeight="1" x14ac:dyDescent="0.3">
      <c r="A20" s="6"/>
      <c r="B20" s="6"/>
      <c r="C20" s="6"/>
      <c r="D20" s="31"/>
      <c r="E20" s="6"/>
      <c r="G20" s="6"/>
    </row>
    <row r="21" spans="1:7" ht="16.5" customHeight="1" x14ac:dyDescent="0.3">
      <c r="A21" s="6"/>
      <c r="B21" s="6"/>
      <c r="C21" s="6"/>
      <c r="D21" s="31"/>
      <c r="E21" s="6"/>
      <c r="G21" s="6"/>
    </row>
    <row r="22" spans="1:7" ht="16.5" customHeight="1" x14ac:dyDescent="0.3">
      <c r="A22" s="6"/>
      <c r="B22" s="6"/>
      <c r="C22" s="6"/>
      <c r="D22" s="31"/>
      <c r="E22" s="6"/>
      <c r="G22" s="6"/>
    </row>
    <row r="23" spans="1:7" ht="16.5" customHeight="1" x14ac:dyDescent="0.3">
      <c r="A23" s="6"/>
      <c r="B23" s="6"/>
      <c r="C23" s="6"/>
      <c r="D23" s="31"/>
      <c r="E23" s="6"/>
      <c r="G23" s="6"/>
    </row>
    <row r="24" spans="1:7" ht="16.5" customHeight="1" x14ac:dyDescent="0.3">
      <c r="A24" s="6"/>
      <c r="B24" s="6"/>
      <c r="C24" s="6"/>
      <c r="D24" s="31"/>
      <c r="E24" s="6"/>
      <c r="G24" s="6"/>
    </row>
    <row r="25" spans="1:7" ht="16.5" customHeight="1" x14ac:dyDescent="0.3">
      <c r="A25" s="6"/>
      <c r="B25" s="6"/>
      <c r="C25" s="6"/>
      <c r="D25" s="31"/>
      <c r="E25" s="6"/>
      <c r="G25" s="6"/>
    </row>
    <row r="26" spans="1:7" ht="16.5" customHeight="1" x14ac:dyDescent="0.3">
      <c r="A26" s="6"/>
      <c r="B26" s="6"/>
      <c r="C26" s="6"/>
      <c r="D26" s="31"/>
      <c r="E26" s="6"/>
      <c r="G26" s="6"/>
    </row>
    <row r="27" spans="1:7" ht="16.5" customHeight="1" x14ac:dyDescent="0.3">
      <c r="A27" s="6"/>
      <c r="B27" s="6"/>
      <c r="C27" s="6"/>
      <c r="D27" s="31"/>
      <c r="E27" s="6"/>
      <c r="G27" s="6"/>
    </row>
    <row r="28" spans="1:7" ht="16.5" customHeight="1" x14ac:dyDescent="0.3">
      <c r="A28" s="6"/>
      <c r="B28" s="6"/>
      <c r="C28" s="6"/>
      <c r="D28" s="31"/>
      <c r="E28" s="6"/>
      <c r="G28" s="6"/>
    </row>
    <row r="29" spans="1:7" ht="16.5" customHeight="1" x14ac:dyDescent="0.3">
      <c r="A29" s="6"/>
      <c r="B29" s="6"/>
      <c r="C29" s="6"/>
      <c r="D29" s="31"/>
      <c r="E29" s="6"/>
      <c r="G29" s="6"/>
    </row>
    <row r="30" spans="1:7" ht="16.5" customHeight="1" x14ac:dyDescent="0.3">
      <c r="A30" s="6"/>
      <c r="B30" s="6"/>
      <c r="C30" s="6"/>
      <c r="D30" s="31"/>
      <c r="E30" s="6"/>
      <c r="G30" s="6"/>
    </row>
    <row r="31" spans="1:7" ht="16.5" customHeight="1" x14ac:dyDescent="0.3">
      <c r="A31" s="6"/>
      <c r="B31" s="6"/>
      <c r="C31" s="6"/>
      <c r="D31" s="31"/>
      <c r="E31" s="6"/>
      <c r="G31" s="6"/>
    </row>
    <row r="32" spans="1:7" ht="16.5" customHeight="1" x14ac:dyDescent="0.3">
      <c r="D32" s="31"/>
    </row>
    <row r="33" spans="1:7" ht="15.75" customHeight="1" x14ac:dyDescent="0.25">
      <c r="A33" s="6"/>
      <c r="B33" s="6"/>
      <c r="C33" s="6"/>
      <c r="E33" s="6"/>
      <c r="G33" s="6"/>
    </row>
    <row r="34" spans="1:7" ht="15.75" customHeight="1" x14ac:dyDescent="0.25">
      <c r="A34" s="6"/>
      <c r="B34" s="6"/>
      <c r="C34" s="6"/>
      <c r="E34" s="6"/>
      <c r="G34" s="6"/>
    </row>
    <row r="35" spans="1:7" ht="15.75" customHeight="1" x14ac:dyDescent="0.25">
      <c r="A35" s="6"/>
      <c r="B35" s="6"/>
      <c r="C35" s="6"/>
      <c r="E35" s="6"/>
      <c r="G35" s="6"/>
    </row>
    <row r="36" spans="1:7" ht="15.75" customHeight="1" x14ac:dyDescent="0.25">
      <c r="A36" s="6"/>
      <c r="B36" s="6"/>
      <c r="C36" s="6"/>
      <c r="E36" s="6"/>
      <c r="G36" s="6"/>
    </row>
    <row r="37" spans="1:7" ht="15.75" customHeight="1" x14ac:dyDescent="0.25">
      <c r="A37" s="6"/>
      <c r="B37" s="6"/>
      <c r="C37" s="6"/>
      <c r="E37" s="6"/>
      <c r="G37" s="6"/>
    </row>
    <row r="38" spans="1:7" ht="15.75" customHeight="1" x14ac:dyDescent="0.25">
      <c r="A38" s="6"/>
      <c r="B38" s="6"/>
      <c r="C38" s="6"/>
      <c r="E38" s="6"/>
      <c r="G38" s="6"/>
    </row>
    <row r="39" spans="1:7" ht="15.75" customHeight="1" x14ac:dyDescent="0.25">
      <c r="A39" s="6"/>
      <c r="B39" s="6"/>
      <c r="C39" s="6"/>
      <c r="E39" s="6"/>
      <c r="G39" s="6"/>
    </row>
    <row r="40" spans="1:7" ht="15.75" customHeight="1" x14ac:dyDescent="0.25">
      <c r="A40" s="6"/>
      <c r="B40" s="6"/>
      <c r="C40" s="6"/>
      <c r="E40" s="6"/>
      <c r="G40" s="6"/>
    </row>
    <row r="41" spans="1:7" ht="15.75" customHeight="1" x14ac:dyDescent="0.25">
      <c r="A41" s="6"/>
      <c r="B41" s="6"/>
      <c r="C41" s="6"/>
      <c r="E41" s="6"/>
      <c r="G41" s="6"/>
    </row>
    <row r="42" spans="1:7" ht="15.75" customHeight="1" x14ac:dyDescent="0.25">
      <c r="A42" s="6"/>
      <c r="B42" s="6"/>
      <c r="C42" s="6"/>
      <c r="E42" s="6"/>
      <c r="G42" s="6"/>
    </row>
    <row r="43" spans="1:7" ht="15.75" customHeight="1" x14ac:dyDescent="0.25">
      <c r="A43" s="6"/>
      <c r="B43" s="6"/>
      <c r="C43" s="6"/>
      <c r="E43" s="6"/>
      <c r="G43" s="6"/>
    </row>
    <row r="44" spans="1:7" ht="15.75" customHeight="1" x14ac:dyDescent="0.25">
      <c r="A44" s="6"/>
      <c r="B44" s="6"/>
      <c r="C44" s="6"/>
      <c r="E44" s="6"/>
      <c r="G44" s="6"/>
    </row>
    <row r="45" spans="1:7" ht="15.75" customHeight="1" x14ac:dyDescent="0.25">
      <c r="A45" s="6"/>
      <c r="B45" s="6"/>
      <c r="C45" s="6"/>
      <c r="E45" s="6"/>
      <c r="G45" s="6"/>
    </row>
    <row r="46" spans="1:7" ht="15.75" customHeight="1" x14ac:dyDescent="0.25">
      <c r="A46" s="6"/>
      <c r="B46" s="6"/>
      <c r="C46" s="6"/>
      <c r="E46" s="6"/>
      <c r="G46" s="6"/>
    </row>
    <row r="47" spans="1:7" ht="15.75" customHeight="1" x14ac:dyDescent="0.25">
      <c r="A47" s="6"/>
      <c r="B47" s="6"/>
      <c r="C47" s="6"/>
      <c r="E47" s="6"/>
      <c r="G47" s="6"/>
    </row>
    <row r="48" spans="1:7" ht="15.75" customHeight="1" x14ac:dyDescent="0.25">
      <c r="A48" s="6"/>
      <c r="B48" s="6"/>
      <c r="C48" s="6"/>
      <c r="E48" s="6"/>
      <c r="G48" s="6"/>
    </row>
    <row r="49" spans="1:7" ht="15.75" customHeight="1" x14ac:dyDescent="0.25">
      <c r="A49" s="6"/>
      <c r="B49" s="6"/>
      <c r="C49" s="6"/>
      <c r="E49" s="6"/>
      <c r="G49" s="6"/>
    </row>
    <row r="50" spans="1:7" ht="15.75" customHeight="1" x14ac:dyDescent="0.25">
      <c r="A50" s="6"/>
      <c r="B50" s="6"/>
      <c r="C50" s="6"/>
      <c r="E50" s="6"/>
      <c r="G50" s="6"/>
    </row>
    <row r="51" spans="1:7" ht="15.75" customHeight="1" x14ac:dyDescent="0.25">
      <c r="A51" s="6"/>
      <c r="B51" s="6"/>
      <c r="C51" s="6"/>
      <c r="E51" s="6"/>
      <c r="G51" s="6"/>
    </row>
    <row r="52" spans="1:7" ht="15.75" customHeight="1" x14ac:dyDescent="0.25">
      <c r="A52" s="6"/>
      <c r="B52" s="6"/>
      <c r="C52" s="6"/>
      <c r="E52" s="6"/>
      <c r="G52" s="6"/>
    </row>
    <row r="53" spans="1:7" ht="15.75" customHeight="1" x14ac:dyDescent="0.25">
      <c r="A53" s="6"/>
      <c r="B53" s="6"/>
      <c r="C53" s="6"/>
      <c r="E53" s="6"/>
      <c r="G53" s="6"/>
    </row>
    <row r="54" spans="1:7" ht="15.75" customHeight="1" x14ac:dyDescent="0.25">
      <c r="A54" s="6"/>
      <c r="B54" s="6"/>
      <c r="C54" s="6"/>
      <c r="E54" s="6"/>
      <c r="G54" s="6"/>
    </row>
    <row r="55" spans="1:7" ht="15.75" customHeight="1" x14ac:dyDescent="0.25">
      <c r="A55" s="6"/>
      <c r="B55" s="6"/>
      <c r="C55" s="6"/>
      <c r="E55" s="6"/>
      <c r="G55" s="6"/>
    </row>
    <row r="56" spans="1:7" ht="15.75" customHeight="1" x14ac:dyDescent="0.25">
      <c r="A56" s="6"/>
      <c r="B56" s="6"/>
      <c r="C56" s="6"/>
      <c r="E56" s="6"/>
      <c r="G56" s="6"/>
    </row>
    <row r="57" spans="1:7" ht="15.75" customHeight="1" x14ac:dyDescent="0.25">
      <c r="A57" s="6"/>
      <c r="B57" s="6"/>
      <c r="C57" s="6"/>
      <c r="E57" s="6"/>
      <c r="G57" s="6"/>
    </row>
    <row r="58" spans="1:7" ht="15.75" customHeight="1" x14ac:dyDescent="0.25">
      <c r="A58" s="6"/>
      <c r="B58" s="6"/>
      <c r="C58" s="6"/>
      <c r="E58" s="6"/>
      <c r="G58" s="6"/>
    </row>
    <row r="59" spans="1:7" ht="15.75" customHeight="1" x14ac:dyDescent="0.25">
      <c r="A59" s="6"/>
      <c r="B59" s="6"/>
      <c r="C59" s="6"/>
      <c r="E59" s="6"/>
      <c r="G59" s="6"/>
    </row>
    <row r="60" spans="1:7" ht="15.75" customHeight="1" x14ac:dyDescent="0.25">
      <c r="A60" s="6"/>
      <c r="B60" s="6"/>
      <c r="C60" s="6"/>
      <c r="E60" s="6"/>
      <c r="G60" s="6"/>
    </row>
    <row r="61" spans="1:7" ht="15.75" customHeight="1" x14ac:dyDescent="0.25">
      <c r="A61" s="6"/>
      <c r="B61" s="6"/>
      <c r="C61" s="6"/>
      <c r="E61" s="6"/>
      <c r="G61" s="6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2" operator="containsText" text="Approved">
      <formula>NOT(ISERROR(SEARCH("Approved",F3)))</formula>
    </cfRule>
    <cfRule type="containsText" dxfId="5" priority="3" operator="containsText" text="Needs Review">
      <formula>NOT(ISERROR(SEARCH("Needs Review",F3)))</formula>
    </cfRule>
    <cfRule type="containsText" dxfId="4" priority="4" operator="containsText" text="Not Started">
      <formula>NOT(ISERROR(SEARCH("Not Started",F3)))</formula>
    </cfRule>
    <cfRule type="containsText" dxfId="3" priority="5" operator="containsText" text="On Hold">
      <formula>NOT(ISERROR(SEARCH("On Hold",F3)))</formula>
    </cfRule>
    <cfRule type="containsText" dxfId="2" priority="6" operator="containsText" text="Overdue">
      <formula>NOT(ISERROR(SEARCH("Overdue",F3)))</formula>
    </cfRule>
    <cfRule type="containsText" dxfId="1" priority="7" operator="containsText" text="Complete">
      <formula>NOT(ISERROR(SEARCH("Complete",F3)))</formula>
    </cfRule>
    <cfRule type="containsText" dxfId="0" priority="8" operator="containsText" text="In Progress">
      <formula>NOT(ISERROR(SEARCH("In Progress",F3)))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proyecto'!Print_Area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dc:description/>
  <cp:lastModifiedBy>DIEGO MAURICIO PAEZ GONZALEZ</cp:lastModifiedBy>
  <cp:revision>0</cp:revision>
  <dcterms:created xsi:type="dcterms:W3CDTF">2015-08-28T20:34:30Z</dcterms:created>
  <dcterms:modified xsi:type="dcterms:W3CDTF">2026-05-08T04:37:12Z</dcterms:modified>
  <dc:language>en-US</dc:language>
</cp:coreProperties>
</file>